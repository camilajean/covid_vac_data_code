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OneDrive\Memory Stick Copy\covid_vac_data_code\covid_vac_data_code\results_tables\"/>
    </mc:Choice>
  </mc:AlternateContent>
  <xr:revisionPtr revIDLastSave="0" documentId="8_{58AC2A81-1B1E-42E3-B816-0D58940608A3}" xr6:coauthVersionLast="47" xr6:coauthVersionMax="47" xr10:uidLastSave="{00000000-0000-0000-0000-000000000000}"/>
  <bookViews>
    <workbookView xWindow="-120" yWindow="-120" windowWidth="29040" windowHeight="15720" firstSheet="3" activeTab="6" xr2:uid="{918A9FAB-82C6-4D12-8E12-7D56407DAB5C}"/>
  </bookViews>
  <sheets>
    <sheet name="doses_results" sheetId="1" r:id="rId1"/>
    <sheet name="first_dose_table" sheetId="3" r:id="rId2"/>
    <sheet name="second_dose_table" sheetId="4" r:id="rId3"/>
    <sheet name="third_dose_table" sheetId="5" r:id="rId4"/>
    <sheet name="dropout_results" sheetId="2" r:id="rId5"/>
    <sheet name="1v2_dropout_table" sheetId="6" r:id="rId6"/>
    <sheet name="2v3_dropout_table" sheetId="7" r:id="rId7"/>
  </sheets>
  <definedNames>
    <definedName name="_xlnm._FilterDatabase" localSheetId="0" hidden="1">doses_results!$A$1:$R$379</definedName>
    <definedName name="_xlnm._FilterDatabase" localSheetId="4" hidden="1">dropout_results!$A$1:$R$194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 a="1"/>
  <c r="C4" i="6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C15" i="7" s="1" a="1"/>
  <c r="C15" i="7" s="1"/>
  <c r="L39" i="2"/>
  <c r="L40" i="2"/>
  <c r="L41" i="2"/>
  <c r="L42" i="2"/>
  <c r="L43" i="2"/>
  <c r="L44" i="2"/>
  <c r="L45" i="2"/>
  <c r="L46" i="2"/>
  <c r="C23" i="7" s="1" a="1"/>
  <c r="C23" i="7" s="1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D15" i="7" s="1" a="1"/>
  <c r="D15" i="7" s="1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F9" i="7" s="1" a="1"/>
  <c r="F9" i="7" s="1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G10" i="7" s="1" a="1"/>
  <c r="G10" i="7" s="1"/>
  <c r="L135" i="2"/>
  <c r="G12" i="7" s="1" a="1"/>
  <c r="G12" i="7" s="1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I32" i="7" s="1" a="1"/>
  <c r="I32" i="7" s="1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J23" i="6" s="1" a="1"/>
  <c r="J23" i="6" s="1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J19" i="7" s="1" a="1"/>
  <c r="J19" i="7" s="1"/>
  <c r="L223" i="2"/>
  <c r="L224" i="2"/>
  <c r="L225" i="2"/>
  <c r="L226" i="2"/>
  <c r="L227" i="2"/>
  <c r="L228" i="2"/>
  <c r="L229" i="2"/>
  <c r="L230" i="2"/>
  <c r="L231" i="2"/>
  <c r="J19" i="6" s="1" a="1"/>
  <c r="J19" i="6" s="1"/>
  <c r="L232" i="2"/>
  <c r="L233" i="2"/>
  <c r="L234" i="2"/>
  <c r="L235" i="2"/>
  <c r="L236" i="2"/>
  <c r="J4" i="7" s="1" a="1"/>
  <c r="J4" i="7" s="1"/>
  <c r="L237" i="2"/>
  <c r="L238" i="2"/>
  <c r="L239" i="2"/>
  <c r="L240" i="2"/>
  <c r="L241" i="2"/>
  <c r="L242" i="2"/>
  <c r="L243" i="2"/>
  <c r="L244" i="2"/>
  <c r="L245" i="2"/>
  <c r="L246" i="2"/>
  <c r="J34" i="7" s="1" a="1"/>
  <c r="J34" i="7" s="1"/>
  <c r="L247" i="2"/>
  <c r="L248" i="2"/>
  <c r="L249" i="2"/>
  <c r="L250" i="2"/>
  <c r="L251" i="2"/>
  <c r="L252" i="2"/>
  <c r="L253" i="2"/>
  <c r="L254" i="2"/>
  <c r="L255" i="2"/>
  <c r="L256" i="2"/>
  <c r="L257" i="2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J13" i="5" s="1" a="1"/>
  <c r="J13" i="5" s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J35" i="5" s="1" a="1"/>
  <c r="J35" i="5" s="1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G40" i="7" a="1"/>
  <c r="G40" i="7" s="1"/>
  <c r="F40" i="7" a="1"/>
  <c r="F40" i="7" s="1"/>
  <c r="D40" i="7" a="1"/>
  <c r="D40" i="7" s="1"/>
  <c r="C40" i="7" a="1"/>
  <c r="C40" i="7" s="1"/>
  <c r="G39" i="7" a="1"/>
  <c r="G39" i="7" s="1"/>
  <c r="F39" i="7" a="1"/>
  <c r="F39" i="7" s="1"/>
  <c r="D39" i="7" a="1"/>
  <c r="D39" i="7" s="1"/>
  <c r="C39" i="7" a="1"/>
  <c r="C39" i="7" s="1"/>
  <c r="G38" i="7" a="1"/>
  <c r="G38" i="7" s="1"/>
  <c r="F38" i="7" a="1"/>
  <c r="F38" i="7" s="1"/>
  <c r="D38" i="7" a="1"/>
  <c r="D38" i="7" s="1"/>
  <c r="C38" i="7" a="1"/>
  <c r="C38" i="7" s="1"/>
  <c r="G37" i="7" a="1"/>
  <c r="G37" i="7" s="1"/>
  <c r="F37" i="7" a="1"/>
  <c r="F37" i="7" s="1"/>
  <c r="D37" i="7" a="1"/>
  <c r="D37" i="7" s="1"/>
  <c r="C37" i="7" a="1"/>
  <c r="C37" i="7" s="1"/>
  <c r="J36" i="7" a="1"/>
  <c r="J36" i="7" s="1"/>
  <c r="G36" i="7" a="1"/>
  <c r="G36" i="7" s="1"/>
  <c r="F36" i="7" a="1"/>
  <c r="F36" i="7" s="1"/>
  <c r="D36" i="7" a="1"/>
  <c r="D36" i="7" s="1"/>
  <c r="C36" i="7" a="1"/>
  <c r="C36" i="7" s="1"/>
  <c r="J35" i="7" a="1"/>
  <c r="J35" i="7" s="1"/>
  <c r="G35" i="7" a="1"/>
  <c r="G35" i="7" s="1"/>
  <c r="F35" i="7" a="1"/>
  <c r="F35" i="7" s="1"/>
  <c r="D35" i="7" a="1"/>
  <c r="D35" i="7" s="1"/>
  <c r="C35" i="7" a="1"/>
  <c r="C35" i="7" s="1"/>
  <c r="G34" i="7" a="1"/>
  <c r="G34" i="7" s="1"/>
  <c r="F34" i="7" a="1"/>
  <c r="F34" i="7" s="1"/>
  <c r="D34" i="7" a="1"/>
  <c r="D34" i="7" s="1"/>
  <c r="C34" i="7" a="1"/>
  <c r="C34" i="7" s="1"/>
  <c r="J33" i="7" a="1"/>
  <c r="J33" i="7" s="1"/>
  <c r="G33" i="7" a="1"/>
  <c r="G33" i="7" s="1"/>
  <c r="F33" i="7" a="1"/>
  <c r="F33" i="7" s="1"/>
  <c r="D33" i="7" a="1"/>
  <c r="D33" i="7" s="1"/>
  <c r="C33" i="7" a="1"/>
  <c r="C33" i="7" s="1"/>
  <c r="G32" i="7" a="1"/>
  <c r="G32" i="7" s="1"/>
  <c r="F32" i="7" a="1"/>
  <c r="F32" i="7" s="1"/>
  <c r="D32" i="7" a="1"/>
  <c r="D32" i="7" s="1"/>
  <c r="C32" i="7" a="1"/>
  <c r="C32" i="7" s="1"/>
  <c r="G31" i="7" a="1"/>
  <c r="G31" i="7" s="1"/>
  <c r="F31" i="7" a="1"/>
  <c r="F31" i="7" s="1"/>
  <c r="D31" i="7" a="1"/>
  <c r="D31" i="7" s="1"/>
  <c r="C31" i="7" a="1"/>
  <c r="C31" i="7" s="1"/>
  <c r="J30" i="7" a="1"/>
  <c r="J30" i="7" s="1"/>
  <c r="G30" i="7" a="1"/>
  <c r="G30" i="7" s="1"/>
  <c r="F30" i="7" a="1"/>
  <c r="F30" i="7" s="1"/>
  <c r="D30" i="7" a="1"/>
  <c r="D30" i="7" s="1"/>
  <c r="C30" i="7" a="1"/>
  <c r="C30" i="7" s="1"/>
  <c r="J29" i="7" a="1"/>
  <c r="J29" i="7" s="1"/>
  <c r="G29" i="7" a="1"/>
  <c r="G29" i="7" s="1"/>
  <c r="F29" i="7" a="1"/>
  <c r="F29" i="7" s="1"/>
  <c r="D29" i="7" a="1"/>
  <c r="D29" i="7" s="1"/>
  <c r="C29" i="7" a="1"/>
  <c r="C29" i="7" s="1"/>
  <c r="G28" i="7" a="1"/>
  <c r="G28" i="7" s="1"/>
  <c r="F28" i="7" a="1"/>
  <c r="F28" i="7" s="1"/>
  <c r="D28" i="7" a="1"/>
  <c r="D28" i="7" s="1"/>
  <c r="C28" i="7" a="1"/>
  <c r="C28" i="7" s="1"/>
  <c r="J27" i="7" a="1"/>
  <c r="J27" i="7" s="1"/>
  <c r="D27" i="7" a="1"/>
  <c r="D27" i="7" s="1"/>
  <c r="C27" i="7" a="1"/>
  <c r="C27" i="7" s="1"/>
  <c r="J25" i="7" a="1"/>
  <c r="J25" i="7" s="1"/>
  <c r="I25" i="7" a="1"/>
  <c r="I25" i="7" s="1"/>
  <c r="G25" i="7" a="1"/>
  <c r="G25" i="7" s="1"/>
  <c r="F25" i="7" a="1"/>
  <c r="F25" i="7" s="1"/>
  <c r="G23" i="7" a="1"/>
  <c r="G23" i="7" s="1"/>
  <c r="F23" i="7" a="1"/>
  <c r="F23" i="7" s="1"/>
  <c r="G22" i="7" a="1"/>
  <c r="G22" i="7" s="1"/>
  <c r="F22" i="7" a="1"/>
  <c r="F22" i="7" s="1"/>
  <c r="J21" i="7" a="1"/>
  <c r="J21" i="7" s="1"/>
  <c r="I21" i="7" a="1"/>
  <c r="I21" i="7" s="1"/>
  <c r="G21" i="7" a="1"/>
  <c r="G21" i="7" s="1"/>
  <c r="F21" i="7" a="1"/>
  <c r="F21" i="7" s="1"/>
  <c r="G19" i="7" a="1"/>
  <c r="G19" i="7" s="1"/>
  <c r="F19" i="7" a="1"/>
  <c r="F19" i="7" s="1"/>
  <c r="J18" i="7" a="1"/>
  <c r="J18" i="7" s="1"/>
  <c r="I18" i="7" a="1"/>
  <c r="I18" i="7" s="1"/>
  <c r="G18" i="7" a="1"/>
  <c r="G18" i="7" s="1"/>
  <c r="F18" i="7" a="1"/>
  <c r="F18" i="7" s="1"/>
  <c r="J16" i="7" a="1"/>
  <c r="J16" i="7" s="1"/>
  <c r="I16" i="7" a="1"/>
  <c r="I16" i="7" s="1"/>
  <c r="G16" i="7" a="1"/>
  <c r="G16" i="7" s="1"/>
  <c r="F16" i="7" a="1"/>
  <c r="F16" i="7" s="1"/>
  <c r="J15" i="7" a="1"/>
  <c r="J15" i="7" s="1"/>
  <c r="I15" i="7" a="1"/>
  <c r="I15" i="7" s="1"/>
  <c r="G15" i="7" a="1"/>
  <c r="G15" i="7" s="1"/>
  <c r="F15" i="7" a="1"/>
  <c r="F15" i="7" s="1"/>
  <c r="J12" i="7" a="1"/>
  <c r="J12" i="7" s="1"/>
  <c r="I12" i="7" a="1"/>
  <c r="I12" i="7" s="1"/>
  <c r="J11" i="7" a="1"/>
  <c r="J11" i="7" s="1"/>
  <c r="I11" i="7" a="1"/>
  <c r="I11" i="7" s="1"/>
  <c r="J10" i="7" a="1"/>
  <c r="J10" i="7" s="1"/>
  <c r="J8" i="7" a="1"/>
  <c r="J8" i="7" s="1"/>
  <c r="I8" i="7" a="1"/>
  <c r="I8" i="7" s="1"/>
  <c r="G8" i="7" a="1"/>
  <c r="G8" i="7" s="1"/>
  <c r="F8" i="7" a="1"/>
  <c r="F8" i="7" s="1"/>
  <c r="J6" i="7" a="1"/>
  <c r="J6" i="7" s="1"/>
  <c r="I6" i="7" a="1"/>
  <c r="I6" i="7" s="1"/>
  <c r="J5" i="7" a="1"/>
  <c r="J5" i="7" s="1"/>
  <c r="G5" i="7" a="1"/>
  <c r="G5" i="7" s="1"/>
  <c r="F5" i="7" a="1"/>
  <c r="F5" i="7" s="1"/>
  <c r="C37" i="6" a="1"/>
  <c r="C37" i="6" s="1"/>
  <c r="D37" i="6" a="1"/>
  <c r="D37" i="6" s="1"/>
  <c r="F37" i="6" a="1"/>
  <c r="F37" i="6" s="1"/>
  <c r="G37" i="6" a="1"/>
  <c r="G37" i="6" s="1"/>
  <c r="C38" i="6" a="1"/>
  <c r="C38" i="6" s="1"/>
  <c r="D38" i="6" a="1"/>
  <c r="D38" i="6" s="1"/>
  <c r="F38" i="6" a="1"/>
  <c r="F38" i="6" s="1"/>
  <c r="G38" i="6" a="1"/>
  <c r="G38" i="6" s="1"/>
  <c r="C39" i="6" a="1"/>
  <c r="C39" i="6" s="1"/>
  <c r="D39" i="6" a="1"/>
  <c r="D39" i="6" s="1"/>
  <c r="F39" i="6" a="1"/>
  <c r="F39" i="6" s="1"/>
  <c r="G39" i="6" a="1"/>
  <c r="G39" i="6" s="1"/>
  <c r="J39" i="6" a="1"/>
  <c r="J39" i="6" s="1"/>
  <c r="C40" i="6" a="1"/>
  <c r="C40" i="6" s="1"/>
  <c r="D40" i="6" a="1"/>
  <c r="D40" i="6" s="1"/>
  <c r="F40" i="6" a="1"/>
  <c r="F40" i="6" s="1"/>
  <c r="G40" i="6" a="1"/>
  <c r="G40" i="6" s="1"/>
  <c r="J40" i="6" a="1"/>
  <c r="J40" i="6" s="1"/>
  <c r="J38" i="6" a="1"/>
  <c r="J38" i="6" s="1"/>
  <c r="P3" i="2" a="1"/>
  <c r="P3" i="2" s="1"/>
  <c r="J13" i="7" a="1"/>
  <c r="J13" i="7" s="1"/>
  <c r="J28" i="6" a="1"/>
  <c r="J28" i="6" s="1"/>
  <c r="J23" i="7" a="1"/>
  <c r="J23" i="7" s="1"/>
  <c r="J24" i="7" a="1"/>
  <c r="J24" i="7" s="1"/>
  <c r="J14" i="7" a="1"/>
  <c r="J14" i="7" s="1"/>
  <c r="J35" i="6" a="1"/>
  <c r="J35" i="6" s="1"/>
  <c r="J22" i="6" a="1"/>
  <c r="J22" i="6" s="1"/>
  <c r="J37" i="6" a="1"/>
  <c r="J37" i="6" s="1"/>
  <c r="J10" i="6" a="1"/>
  <c r="J10" i="6" s="1"/>
  <c r="H35" i="5" a="1"/>
  <c r="H35" i="5" s="1"/>
  <c r="G35" i="5" a="1"/>
  <c r="G35" i="5" s="1"/>
  <c r="F35" i="5" a="1"/>
  <c r="F35" i="5" s="1"/>
  <c r="E35" i="5" a="1"/>
  <c r="E35" i="5" s="1"/>
  <c r="D35" i="5" a="1"/>
  <c r="D35" i="5" s="1"/>
  <c r="C35" i="5" a="1"/>
  <c r="C35" i="5" s="1"/>
  <c r="H34" i="5" a="1"/>
  <c r="H34" i="5" s="1"/>
  <c r="G34" i="5" a="1"/>
  <c r="G34" i="5" s="1"/>
  <c r="F34" i="5" a="1"/>
  <c r="F34" i="5" s="1"/>
  <c r="E34" i="5" a="1"/>
  <c r="E34" i="5" s="1"/>
  <c r="D34" i="5" a="1"/>
  <c r="D34" i="5" s="1"/>
  <c r="C34" i="5" a="1"/>
  <c r="C34" i="5" s="1"/>
  <c r="H33" i="5" a="1"/>
  <c r="H33" i="5" s="1"/>
  <c r="G33" i="5" a="1"/>
  <c r="G33" i="5" s="1"/>
  <c r="F33" i="5" a="1"/>
  <c r="F33" i="5" s="1"/>
  <c r="E33" i="5" a="1"/>
  <c r="E33" i="5" s="1"/>
  <c r="D33" i="5" a="1"/>
  <c r="D33" i="5" s="1"/>
  <c r="C33" i="5" a="1"/>
  <c r="C33" i="5" s="1"/>
  <c r="H32" i="5" a="1"/>
  <c r="H32" i="5" s="1"/>
  <c r="G32" i="5" a="1"/>
  <c r="G32" i="5" s="1"/>
  <c r="F32" i="5" a="1"/>
  <c r="F32" i="5" s="1"/>
  <c r="E32" i="5" a="1"/>
  <c r="E32" i="5" s="1"/>
  <c r="D32" i="5" a="1"/>
  <c r="D32" i="5" s="1"/>
  <c r="C32" i="5" a="1"/>
  <c r="C32" i="5" s="1"/>
  <c r="H31" i="5" a="1"/>
  <c r="H31" i="5" s="1"/>
  <c r="G31" i="5" a="1"/>
  <c r="G31" i="5" s="1"/>
  <c r="F31" i="5" a="1"/>
  <c r="F31" i="5" s="1"/>
  <c r="E31" i="5" a="1"/>
  <c r="E31" i="5" s="1"/>
  <c r="D31" i="5" a="1"/>
  <c r="D31" i="5" s="1"/>
  <c r="C31" i="5" a="1"/>
  <c r="C31" i="5" s="1"/>
  <c r="J30" i="5" a="1"/>
  <c r="J30" i="5" s="1"/>
  <c r="H30" i="5" a="1"/>
  <c r="H30" i="5" s="1"/>
  <c r="G30" i="5" a="1"/>
  <c r="G30" i="5" s="1"/>
  <c r="F30" i="5" a="1"/>
  <c r="F30" i="5" s="1"/>
  <c r="E30" i="5" a="1"/>
  <c r="E30" i="5" s="1"/>
  <c r="D30" i="5" a="1"/>
  <c r="D30" i="5" s="1"/>
  <c r="C30" i="5" a="1"/>
  <c r="C30" i="5" s="1"/>
  <c r="H29" i="5" a="1"/>
  <c r="H29" i="5" s="1"/>
  <c r="G29" i="5" a="1"/>
  <c r="G29" i="5" s="1"/>
  <c r="F29" i="5" a="1"/>
  <c r="F29" i="5" s="1"/>
  <c r="E29" i="5" a="1"/>
  <c r="E29" i="5" s="1"/>
  <c r="D29" i="5" a="1"/>
  <c r="D29" i="5" s="1"/>
  <c r="C29" i="5" a="1"/>
  <c r="C29" i="5" s="1"/>
  <c r="H28" i="5" a="1"/>
  <c r="H28" i="5" s="1"/>
  <c r="E28" i="5" a="1"/>
  <c r="E28" i="5" s="1"/>
  <c r="D28" i="5" a="1"/>
  <c r="D28" i="5" s="1"/>
  <c r="C28" i="5" a="1"/>
  <c r="C28" i="5" s="1"/>
  <c r="H27" i="5" a="1"/>
  <c r="H27" i="5" s="1"/>
  <c r="E27" i="5" a="1"/>
  <c r="E27" i="5" s="1"/>
  <c r="D27" i="5" a="1"/>
  <c r="D27" i="5" s="1"/>
  <c r="C27" i="5" a="1"/>
  <c r="C27" i="5" s="1"/>
  <c r="H26" i="5" a="1"/>
  <c r="H26" i="5" s="1"/>
  <c r="E26" i="5" a="1"/>
  <c r="E26" i="5" s="1"/>
  <c r="J25" i="5" a="1"/>
  <c r="J25" i="5" s="1"/>
  <c r="I25" i="5" a="1"/>
  <c r="I25" i="5" s="1"/>
  <c r="H25" i="5" a="1"/>
  <c r="H25" i="5" s="1"/>
  <c r="G25" i="5" a="1"/>
  <c r="G25" i="5" s="1"/>
  <c r="F25" i="5" a="1"/>
  <c r="F25" i="5" s="1"/>
  <c r="E25" i="5" a="1"/>
  <c r="E25" i="5" s="1"/>
  <c r="J24" i="5" a="1"/>
  <c r="J24" i="5" s="1"/>
  <c r="H24" i="5" a="1"/>
  <c r="H24" i="5" s="1"/>
  <c r="E24" i="5" a="1"/>
  <c r="E24" i="5" s="1"/>
  <c r="J23" i="5" a="1"/>
  <c r="J23" i="5" s="1"/>
  <c r="I23" i="5" a="1"/>
  <c r="I23" i="5" s="1"/>
  <c r="H23" i="5" a="1"/>
  <c r="H23" i="5" s="1"/>
  <c r="G23" i="5" a="1"/>
  <c r="G23" i="5" s="1"/>
  <c r="F23" i="5" a="1"/>
  <c r="F23" i="5" s="1"/>
  <c r="E23" i="5" a="1"/>
  <c r="E23" i="5" s="1"/>
  <c r="H22" i="5" a="1"/>
  <c r="H22" i="5" s="1"/>
  <c r="G22" i="5" a="1"/>
  <c r="G22" i="5" s="1"/>
  <c r="F22" i="5" a="1"/>
  <c r="F22" i="5" s="1"/>
  <c r="E22" i="5" a="1"/>
  <c r="E22" i="5" s="1"/>
  <c r="J21" i="5" a="1"/>
  <c r="J21" i="5" s="1"/>
  <c r="I21" i="5" a="1"/>
  <c r="I21" i="5" s="1"/>
  <c r="H21" i="5" a="1"/>
  <c r="H21" i="5" s="1"/>
  <c r="G21" i="5" a="1"/>
  <c r="G21" i="5" s="1"/>
  <c r="F21" i="5" a="1"/>
  <c r="F21" i="5" s="1"/>
  <c r="E21" i="5" a="1"/>
  <c r="E21" i="5" s="1"/>
  <c r="H20" i="5" a="1"/>
  <c r="H20" i="5" s="1"/>
  <c r="E20" i="5" a="1"/>
  <c r="E20" i="5" s="1"/>
  <c r="H19" i="5" a="1"/>
  <c r="H19" i="5" s="1"/>
  <c r="E19" i="5" a="1"/>
  <c r="E19" i="5" s="1"/>
  <c r="H18" i="5" a="1"/>
  <c r="H18" i="5" s="1"/>
  <c r="G18" i="5" a="1"/>
  <c r="G18" i="5" s="1"/>
  <c r="F18" i="5" a="1"/>
  <c r="F18" i="5" s="1"/>
  <c r="E18" i="5" a="1"/>
  <c r="E18" i="5" s="1"/>
  <c r="H17" i="5" a="1"/>
  <c r="H17" i="5" s="1"/>
  <c r="E17" i="5" a="1"/>
  <c r="E17" i="5" s="1"/>
  <c r="J16" i="5" a="1"/>
  <c r="J16" i="5" s="1"/>
  <c r="I16" i="5" a="1"/>
  <c r="I16" i="5" s="1"/>
  <c r="H16" i="5" a="1"/>
  <c r="H16" i="5" s="1"/>
  <c r="G16" i="5" a="1"/>
  <c r="G16" i="5" s="1"/>
  <c r="F16" i="5" a="1"/>
  <c r="F16" i="5" s="1"/>
  <c r="E16" i="5" a="1"/>
  <c r="E16" i="5" s="1"/>
  <c r="J15" i="5" a="1"/>
  <c r="J15" i="5" s="1"/>
  <c r="I15" i="5" a="1"/>
  <c r="I15" i="5" s="1"/>
  <c r="H15" i="5" a="1"/>
  <c r="H15" i="5" s="1"/>
  <c r="G15" i="5" a="1"/>
  <c r="G15" i="5" s="1"/>
  <c r="F15" i="5" a="1"/>
  <c r="F15" i="5" s="1"/>
  <c r="E15" i="5" a="1"/>
  <c r="E15" i="5" s="1"/>
  <c r="J14" i="5" a="1"/>
  <c r="J14" i="5" s="1"/>
  <c r="I14" i="5" a="1"/>
  <c r="I14" i="5" s="1"/>
  <c r="H14" i="5" a="1"/>
  <c r="H14" i="5" s="1"/>
  <c r="E14" i="5" a="1"/>
  <c r="E14" i="5" s="1"/>
  <c r="H13" i="5" a="1"/>
  <c r="H13" i="5" s="1"/>
  <c r="E13" i="5" a="1"/>
  <c r="E13" i="5" s="1"/>
  <c r="J12" i="5" a="1"/>
  <c r="J12" i="5" s="1"/>
  <c r="I12" i="5" a="1"/>
  <c r="I12" i="5" s="1"/>
  <c r="H12" i="5" a="1"/>
  <c r="H12" i="5" s="1"/>
  <c r="E12" i="5" a="1"/>
  <c r="E12" i="5" s="1"/>
  <c r="J11" i="5" a="1"/>
  <c r="J11" i="5" s="1"/>
  <c r="I11" i="5" a="1"/>
  <c r="I11" i="5" s="1"/>
  <c r="H11" i="5" a="1"/>
  <c r="H11" i="5" s="1"/>
  <c r="G11" i="5" a="1"/>
  <c r="G11" i="5" s="1"/>
  <c r="F11" i="5" a="1"/>
  <c r="F11" i="5" s="1"/>
  <c r="E11" i="5" a="1"/>
  <c r="E11" i="5" s="1"/>
  <c r="H10" i="5" a="1"/>
  <c r="H10" i="5" s="1"/>
  <c r="E10" i="5" a="1"/>
  <c r="E10" i="5" s="1"/>
  <c r="H9" i="5" a="1"/>
  <c r="H9" i="5" s="1"/>
  <c r="E9" i="5" a="1"/>
  <c r="E9" i="5" s="1"/>
  <c r="J8" i="5" a="1"/>
  <c r="J8" i="5" s="1"/>
  <c r="I8" i="5" a="1"/>
  <c r="I8" i="5" s="1"/>
  <c r="H8" i="5" a="1"/>
  <c r="H8" i="5" s="1"/>
  <c r="G8" i="5" a="1"/>
  <c r="G8" i="5" s="1"/>
  <c r="F8" i="5" a="1"/>
  <c r="F8" i="5" s="1"/>
  <c r="E8" i="5" a="1"/>
  <c r="E8" i="5" s="1"/>
  <c r="H7" i="5" a="1"/>
  <c r="H7" i="5" s="1"/>
  <c r="E7" i="5" a="1"/>
  <c r="E7" i="5" s="1"/>
  <c r="J6" i="5" a="1"/>
  <c r="J6" i="5" s="1"/>
  <c r="I6" i="5" a="1"/>
  <c r="I6" i="5" s="1"/>
  <c r="H6" i="5" a="1"/>
  <c r="H6" i="5" s="1"/>
  <c r="E6" i="5" a="1"/>
  <c r="E6" i="5" s="1"/>
  <c r="H5" i="5" a="1"/>
  <c r="H5" i="5" s="1"/>
  <c r="G5" i="5" a="1"/>
  <c r="G5" i="5" s="1"/>
  <c r="F5" i="5" a="1"/>
  <c r="F5" i="5" s="1"/>
  <c r="E5" i="5" a="1"/>
  <c r="E5" i="5" s="1"/>
  <c r="J4" i="5" a="1"/>
  <c r="J4" i="5" s="1"/>
  <c r="H4" i="5" a="1"/>
  <c r="H4" i="5" s="1"/>
  <c r="E4" i="5" a="1"/>
  <c r="E4" i="5" s="1"/>
  <c r="H35" i="4" a="1"/>
  <c r="H35" i="4" s="1"/>
  <c r="G35" i="4" a="1"/>
  <c r="G35" i="4" s="1"/>
  <c r="F35" i="4" a="1"/>
  <c r="F35" i="4" s="1"/>
  <c r="E35" i="4" a="1"/>
  <c r="E35" i="4" s="1"/>
  <c r="D35" i="4" a="1"/>
  <c r="D35" i="4" s="1"/>
  <c r="C35" i="4" a="1"/>
  <c r="C35" i="4" s="1"/>
  <c r="H34" i="4" a="1"/>
  <c r="H34" i="4" s="1"/>
  <c r="G34" i="4" a="1"/>
  <c r="G34" i="4" s="1"/>
  <c r="F34" i="4" a="1"/>
  <c r="F34" i="4" s="1"/>
  <c r="E34" i="4" a="1"/>
  <c r="E34" i="4" s="1"/>
  <c r="D34" i="4" a="1"/>
  <c r="D34" i="4" s="1"/>
  <c r="C34" i="4" a="1"/>
  <c r="C34" i="4" s="1"/>
  <c r="H33" i="4" a="1"/>
  <c r="H33" i="4" s="1"/>
  <c r="G33" i="4" a="1"/>
  <c r="G33" i="4" s="1"/>
  <c r="F33" i="4" a="1"/>
  <c r="F33" i="4" s="1"/>
  <c r="E33" i="4" a="1"/>
  <c r="E33" i="4" s="1"/>
  <c r="D33" i="4" a="1"/>
  <c r="D33" i="4" s="1"/>
  <c r="C33" i="4" a="1"/>
  <c r="C33" i="4" s="1"/>
  <c r="H32" i="4" a="1"/>
  <c r="H32" i="4" s="1"/>
  <c r="G32" i="4" a="1"/>
  <c r="G32" i="4" s="1"/>
  <c r="F32" i="4" a="1"/>
  <c r="F32" i="4" s="1"/>
  <c r="E32" i="4" a="1"/>
  <c r="E32" i="4" s="1"/>
  <c r="D32" i="4" a="1"/>
  <c r="D32" i="4" s="1"/>
  <c r="C32" i="4" a="1"/>
  <c r="C32" i="4" s="1"/>
  <c r="H31" i="4" a="1"/>
  <c r="H31" i="4" s="1"/>
  <c r="G31" i="4" a="1"/>
  <c r="G31" i="4" s="1"/>
  <c r="F31" i="4" a="1"/>
  <c r="F31" i="4" s="1"/>
  <c r="E31" i="4" a="1"/>
  <c r="E31" i="4" s="1"/>
  <c r="D31" i="4" a="1"/>
  <c r="D31" i="4" s="1"/>
  <c r="C31" i="4" a="1"/>
  <c r="C31" i="4" s="1"/>
  <c r="H30" i="4" a="1"/>
  <c r="H30" i="4" s="1"/>
  <c r="G30" i="4" a="1"/>
  <c r="G30" i="4" s="1"/>
  <c r="F30" i="4" a="1"/>
  <c r="F30" i="4" s="1"/>
  <c r="E30" i="4" a="1"/>
  <c r="E30" i="4" s="1"/>
  <c r="D30" i="4" a="1"/>
  <c r="D30" i="4" s="1"/>
  <c r="C30" i="4" a="1"/>
  <c r="C30" i="4" s="1"/>
  <c r="H29" i="4" a="1"/>
  <c r="H29" i="4" s="1"/>
  <c r="G29" i="4" a="1"/>
  <c r="G29" i="4" s="1"/>
  <c r="F29" i="4" a="1"/>
  <c r="F29" i="4" s="1"/>
  <c r="E29" i="4" a="1"/>
  <c r="E29" i="4" s="1"/>
  <c r="D29" i="4" a="1"/>
  <c r="D29" i="4" s="1"/>
  <c r="C29" i="4" a="1"/>
  <c r="C29" i="4" s="1"/>
  <c r="J28" i="4" a="1"/>
  <c r="J28" i="4" s="1"/>
  <c r="H28" i="4" a="1"/>
  <c r="H28" i="4" s="1"/>
  <c r="E28" i="4" a="1"/>
  <c r="E28" i="4" s="1"/>
  <c r="D28" i="4" a="1"/>
  <c r="D28" i="4" s="1"/>
  <c r="C28" i="4" a="1"/>
  <c r="C28" i="4" s="1"/>
  <c r="H27" i="4" a="1"/>
  <c r="H27" i="4" s="1"/>
  <c r="E27" i="4" a="1"/>
  <c r="E27" i="4" s="1"/>
  <c r="D27" i="4" a="1"/>
  <c r="D27" i="4" s="1"/>
  <c r="C27" i="4" a="1"/>
  <c r="C27" i="4" s="1"/>
  <c r="H26" i="4" a="1"/>
  <c r="H26" i="4" s="1"/>
  <c r="E26" i="4" a="1"/>
  <c r="E26" i="4" s="1"/>
  <c r="J25" i="4" a="1"/>
  <c r="J25" i="4" s="1"/>
  <c r="I25" i="4" a="1"/>
  <c r="I25" i="4" s="1"/>
  <c r="H25" i="4" a="1"/>
  <c r="H25" i="4" s="1"/>
  <c r="G25" i="4" a="1"/>
  <c r="G25" i="4" s="1"/>
  <c r="F25" i="4" a="1"/>
  <c r="F25" i="4" s="1"/>
  <c r="E25" i="4" a="1"/>
  <c r="E25" i="4" s="1"/>
  <c r="H24" i="4" a="1"/>
  <c r="H24" i="4" s="1"/>
  <c r="E24" i="4" a="1"/>
  <c r="E24" i="4" s="1"/>
  <c r="J23" i="4" a="1"/>
  <c r="J23" i="4" s="1"/>
  <c r="I23" i="4" a="1"/>
  <c r="I23" i="4" s="1"/>
  <c r="H23" i="4" a="1"/>
  <c r="H23" i="4" s="1"/>
  <c r="G23" i="4" a="1"/>
  <c r="G23" i="4" s="1"/>
  <c r="F23" i="4" a="1"/>
  <c r="F23" i="4" s="1"/>
  <c r="E23" i="4" a="1"/>
  <c r="E23" i="4" s="1"/>
  <c r="H22" i="4" a="1"/>
  <c r="H22" i="4" s="1"/>
  <c r="G22" i="4" a="1"/>
  <c r="G22" i="4" s="1"/>
  <c r="F22" i="4" a="1"/>
  <c r="F22" i="4" s="1"/>
  <c r="E22" i="4" a="1"/>
  <c r="E22" i="4" s="1"/>
  <c r="J21" i="4" a="1"/>
  <c r="J21" i="4" s="1"/>
  <c r="I21" i="4" a="1"/>
  <c r="I21" i="4" s="1"/>
  <c r="H21" i="4" a="1"/>
  <c r="H21" i="4" s="1"/>
  <c r="G21" i="4" a="1"/>
  <c r="G21" i="4" s="1"/>
  <c r="F21" i="4" a="1"/>
  <c r="F21" i="4" s="1"/>
  <c r="E21" i="4" a="1"/>
  <c r="E21" i="4" s="1"/>
  <c r="H20" i="4" a="1"/>
  <c r="H20" i="4" s="1"/>
  <c r="E20" i="4" a="1"/>
  <c r="E20" i="4" s="1"/>
  <c r="H19" i="4" a="1"/>
  <c r="H19" i="4" s="1"/>
  <c r="E19" i="4" a="1"/>
  <c r="E19" i="4" s="1"/>
  <c r="H18" i="4" a="1"/>
  <c r="H18" i="4" s="1"/>
  <c r="G18" i="4" a="1"/>
  <c r="G18" i="4" s="1"/>
  <c r="F18" i="4" a="1"/>
  <c r="F18" i="4" s="1"/>
  <c r="E18" i="4" a="1"/>
  <c r="E18" i="4" s="1"/>
  <c r="H17" i="4" a="1"/>
  <c r="H17" i="4" s="1"/>
  <c r="E17" i="4" a="1"/>
  <c r="E17" i="4" s="1"/>
  <c r="J16" i="4" a="1"/>
  <c r="J16" i="4" s="1"/>
  <c r="I16" i="4" a="1"/>
  <c r="I16" i="4" s="1"/>
  <c r="H16" i="4" a="1"/>
  <c r="H16" i="4" s="1"/>
  <c r="G16" i="4" a="1"/>
  <c r="G16" i="4" s="1"/>
  <c r="F16" i="4" a="1"/>
  <c r="F16" i="4" s="1"/>
  <c r="E16" i="4" a="1"/>
  <c r="E16" i="4" s="1"/>
  <c r="J15" i="4" a="1"/>
  <c r="J15" i="4" s="1"/>
  <c r="I15" i="4" a="1"/>
  <c r="I15" i="4" s="1"/>
  <c r="H15" i="4" a="1"/>
  <c r="H15" i="4" s="1"/>
  <c r="G15" i="4" a="1"/>
  <c r="G15" i="4" s="1"/>
  <c r="F15" i="4" a="1"/>
  <c r="F15" i="4" s="1"/>
  <c r="E15" i="4" a="1"/>
  <c r="E15" i="4" s="1"/>
  <c r="I14" i="4" a="1"/>
  <c r="I14" i="4" s="1"/>
  <c r="H14" i="4" a="1"/>
  <c r="H14" i="4" s="1"/>
  <c r="E14" i="4" a="1"/>
  <c r="E14" i="4" s="1"/>
  <c r="H13" i="4" a="1"/>
  <c r="H13" i="4" s="1"/>
  <c r="E13" i="4" a="1"/>
  <c r="E13" i="4" s="1"/>
  <c r="J12" i="4" a="1"/>
  <c r="J12" i="4" s="1"/>
  <c r="I12" i="4" a="1"/>
  <c r="I12" i="4" s="1"/>
  <c r="H12" i="4" a="1"/>
  <c r="H12" i="4" s="1"/>
  <c r="E12" i="4" a="1"/>
  <c r="E12" i="4" s="1"/>
  <c r="J11" i="4" a="1"/>
  <c r="J11" i="4" s="1"/>
  <c r="I11" i="4" a="1"/>
  <c r="I11" i="4" s="1"/>
  <c r="H11" i="4" a="1"/>
  <c r="H11" i="4" s="1"/>
  <c r="G11" i="4" a="1"/>
  <c r="G11" i="4" s="1"/>
  <c r="F11" i="4" a="1"/>
  <c r="F11" i="4" s="1"/>
  <c r="E11" i="4" a="1"/>
  <c r="E11" i="4" s="1"/>
  <c r="H10" i="4" a="1"/>
  <c r="H10" i="4" s="1"/>
  <c r="E10" i="4" a="1"/>
  <c r="E10" i="4" s="1"/>
  <c r="H9" i="4" a="1"/>
  <c r="H9" i="4" s="1"/>
  <c r="E9" i="4" a="1"/>
  <c r="E9" i="4" s="1"/>
  <c r="J8" i="4" a="1"/>
  <c r="J8" i="4" s="1"/>
  <c r="I8" i="4" a="1"/>
  <c r="I8" i="4" s="1"/>
  <c r="H8" i="4" a="1"/>
  <c r="H8" i="4" s="1"/>
  <c r="G8" i="4" a="1"/>
  <c r="G8" i="4" s="1"/>
  <c r="F8" i="4" a="1"/>
  <c r="F8" i="4" s="1"/>
  <c r="E8" i="4" a="1"/>
  <c r="E8" i="4" s="1"/>
  <c r="H7" i="4" a="1"/>
  <c r="H7" i="4" s="1"/>
  <c r="E7" i="4" a="1"/>
  <c r="E7" i="4" s="1"/>
  <c r="J6" i="4" a="1"/>
  <c r="J6" i="4" s="1"/>
  <c r="I6" i="4" a="1"/>
  <c r="I6" i="4" s="1"/>
  <c r="H6" i="4" a="1"/>
  <c r="H6" i="4" s="1"/>
  <c r="E6" i="4" a="1"/>
  <c r="E6" i="4" s="1"/>
  <c r="H5" i="4" a="1"/>
  <c r="H5" i="4" s="1"/>
  <c r="G5" i="4" a="1"/>
  <c r="G5" i="4" s="1"/>
  <c r="F5" i="4" a="1"/>
  <c r="F5" i="4" s="1"/>
  <c r="E5" i="4" a="1"/>
  <c r="E5" i="4" s="1"/>
  <c r="J4" i="4" a="1"/>
  <c r="J4" i="4" s="1"/>
  <c r="H4" i="4" a="1"/>
  <c r="H4" i="4" s="1"/>
  <c r="E4" i="4" a="1"/>
  <c r="E4" i="4" s="1"/>
  <c r="C34" i="3" a="1"/>
  <c r="C34" i="3" s="1"/>
  <c r="D34" i="3" a="1"/>
  <c r="D34" i="3" s="1"/>
  <c r="E34" i="3" a="1"/>
  <c r="E34" i="3" s="1"/>
  <c r="F34" i="3" a="1"/>
  <c r="F34" i="3" s="1"/>
  <c r="G34" i="3" a="1"/>
  <c r="G34" i="3" s="1"/>
  <c r="H34" i="3" a="1"/>
  <c r="H34" i="3" s="1"/>
  <c r="C35" i="3" a="1"/>
  <c r="C35" i="3" s="1"/>
  <c r="D35" i="3" a="1"/>
  <c r="D35" i="3" s="1"/>
  <c r="E35" i="3" a="1"/>
  <c r="E35" i="3" s="1"/>
  <c r="F35" i="3" a="1"/>
  <c r="F35" i="3" s="1"/>
  <c r="G35" i="3" a="1"/>
  <c r="G35" i="3" s="1"/>
  <c r="H35" i="3" a="1"/>
  <c r="H35" i="3" s="1"/>
  <c r="E5" i="3" a="1"/>
  <c r="E5" i="3" s="1"/>
  <c r="F5" i="3" a="1"/>
  <c r="F5" i="3" s="1"/>
  <c r="G5" i="3" a="1"/>
  <c r="G5" i="3" s="1"/>
  <c r="H5" i="3" a="1"/>
  <c r="H5" i="3" s="1"/>
  <c r="E6" i="3" a="1"/>
  <c r="E6" i="3" s="1"/>
  <c r="H6" i="3" a="1"/>
  <c r="H6" i="3" s="1"/>
  <c r="I6" i="3" a="1"/>
  <c r="I6" i="3" s="1"/>
  <c r="J6" i="3" a="1"/>
  <c r="J6" i="3" s="1"/>
  <c r="E7" i="3" a="1"/>
  <c r="E7" i="3" s="1"/>
  <c r="H7" i="3" a="1"/>
  <c r="H7" i="3" s="1"/>
  <c r="E8" i="3" a="1"/>
  <c r="E8" i="3" s="1"/>
  <c r="F8" i="3" a="1"/>
  <c r="F8" i="3" s="1"/>
  <c r="G8" i="3" a="1"/>
  <c r="G8" i="3" s="1"/>
  <c r="H8" i="3" a="1"/>
  <c r="H8" i="3" s="1"/>
  <c r="I8" i="3" a="1"/>
  <c r="I8" i="3" s="1"/>
  <c r="J8" i="3" a="1"/>
  <c r="J8" i="3" s="1"/>
  <c r="E9" i="3" a="1"/>
  <c r="E9" i="3" s="1"/>
  <c r="H9" i="3" a="1"/>
  <c r="H9" i="3" s="1"/>
  <c r="E10" i="3" a="1"/>
  <c r="E10" i="3" s="1"/>
  <c r="H10" i="3" a="1"/>
  <c r="H10" i="3" s="1"/>
  <c r="E11" i="3" a="1"/>
  <c r="E11" i="3" s="1"/>
  <c r="F11" i="3" a="1"/>
  <c r="F11" i="3" s="1"/>
  <c r="G11" i="3" a="1"/>
  <c r="G11" i="3" s="1"/>
  <c r="H11" i="3" a="1"/>
  <c r="H11" i="3" s="1"/>
  <c r="I11" i="3" a="1"/>
  <c r="I11" i="3" s="1"/>
  <c r="J11" i="3" a="1"/>
  <c r="J11" i="3" s="1"/>
  <c r="E12" i="3" a="1"/>
  <c r="E12" i="3" s="1"/>
  <c r="H12" i="3" a="1"/>
  <c r="H12" i="3" s="1"/>
  <c r="I12" i="3" a="1"/>
  <c r="I12" i="3" s="1"/>
  <c r="J12" i="3" a="1"/>
  <c r="J12" i="3" s="1"/>
  <c r="E13" i="3" a="1"/>
  <c r="E13" i="3" s="1"/>
  <c r="H13" i="3" a="1"/>
  <c r="H13" i="3" s="1"/>
  <c r="E14" i="3" a="1"/>
  <c r="E14" i="3" s="1"/>
  <c r="H14" i="3" a="1"/>
  <c r="H14" i="3" s="1"/>
  <c r="I14" i="3" a="1"/>
  <c r="I14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J15" i="3" a="1"/>
  <c r="J15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E17" i="3" a="1"/>
  <c r="E17" i="3" s="1"/>
  <c r="H17" i="3" a="1"/>
  <c r="H17" i="3" s="1"/>
  <c r="E18" i="3" a="1"/>
  <c r="E18" i="3" s="1"/>
  <c r="F18" i="3" a="1"/>
  <c r="F18" i="3" s="1"/>
  <c r="G18" i="3" a="1"/>
  <c r="G18" i="3" s="1"/>
  <c r="H18" i="3" a="1"/>
  <c r="H18" i="3" s="1"/>
  <c r="E19" i="3" a="1"/>
  <c r="E19" i="3" s="1"/>
  <c r="H19" i="3" a="1"/>
  <c r="H19" i="3" s="1"/>
  <c r="E20" i="3" a="1"/>
  <c r="E20" i="3" s="1"/>
  <c r="H20" i="3" a="1"/>
  <c r="H20" i="3" s="1"/>
  <c r="E21" i="3" a="1"/>
  <c r="E21" i="3" s="1"/>
  <c r="F21" i="3" a="1"/>
  <c r="F21" i="3" s="1"/>
  <c r="G21" i="3" a="1"/>
  <c r="G21" i="3" s="1"/>
  <c r="H21" i="3" a="1"/>
  <c r="H21" i="3" s="1"/>
  <c r="I21" i="3" a="1"/>
  <c r="I21" i="3" s="1"/>
  <c r="J21" i="3" a="1"/>
  <c r="J21" i="3" s="1"/>
  <c r="E22" i="3" a="1"/>
  <c r="E22" i="3" s="1"/>
  <c r="F22" i="3" a="1"/>
  <c r="F22" i="3" s="1"/>
  <c r="G22" i="3" a="1"/>
  <c r="G22" i="3" s="1"/>
  <c r="H22" i="3" a="1"/>
  <c r="H22" i="3" s="1"/>
  <c r="E23" i="3" a="1"/>
  <c r="E23" i="3" s="1"/>
  <c r="F23" i="3" a="1"/>
  <c r="F23" i="3" s="1"/>
  <c r="G23" i="3" a="1"/>
  <c r="G23" i="3" s="1"/>
  <c r="H23" i="3" a="1"/>
  <c r="H23" i="3" s="1"/>
  <c r="I23" i="3" a="1"/>
  <c r="I23" i="3" s="1"/>
  <c r="J23" i="3" a="1"/>
  <c r="J23" i="3" s="1"/>
  <c r="E24" i="3" a="1"/>
  <c r="E24" i="3" s="1"/>
  <c r="H24" i="3" a="1"/>
  <c r="H24" i="3" s="1"/>
  <c r="E25" i="3" a="1"/>
  <c r="E25" i="3" s="1"/>
  <c r="F25" i="3" a="1"/>
  <c r="F25" i="3" s="1"/>
  <c r="G25" i="3" a="1"/>
  <c r="G25" i="3" s="1"/>
  <c r="H25" i="3" a="1"/>
  <c r="H25" i="3" s="1"/>
  <c r="I25" i="3" a="1"/>
  <c r="I25" i="3" s="1"/>
  <c r="J25" i="3" a="1"/>
  <c r="J25" i="3" s="1"/>
  <c r="E26" i="3" a="1"/>
  <c r="E26" i="3" s="1"/>
  <c r="H26" i="3" a="1"/>
  <c r="H26" i="3" s="1"/>
  <c r="C27" i="3" a="1"/>
  <c r="C27" i="3" s="1"/>
  <c r="D27" i="3" a="1"/>
  <c r="D27" i="3" s="1"/>
  <c r="E27" i="3" a="1"/>
  <c r="E27" i="3" s="1"/>
  <c r="H27" i="3" a="1"/>
  <c r="H27" i="3" s="1"/>
  <c r="C28" i="3" a="1"/>
  <c r="C28" i="3" s="1"/>
  <c r="D28" i="3" a="1"/>
  <c r="D28" i="3" s="1"/>
  <c r="E28" i="3" a="1"/>
  <c r="E28" i="3" s="1"/>
  <c r="H28" i="3" a="1"/>
  <c r="H28" i="3" s="1"/>
  <c r="C29" i="3" a="1"/>
  <c r="C29" i="3" s="1"/>
  <c r="D29" i="3" a="1"/>
  <c r="D29" i="3" s="1"/>
  <c r="E29" i="3" a="1"/>
  <c r="E29" i="3" s="1"/>
  <c r="F29" i="3" a="1"/>
  <c r="F29" i="3" s="1"/>
  <c r="G29" i="3" a="1"/>
  <c r="G29" i="3" s="1"/>
  <c r="H29" i="3" a="1"/>
  <c r="H29" i="3" s="1"/>
  <c r="C30" i="3" a="1"/>
  <c r="C30" i="3" s="1"/>
  <c r="D30" i="3" a="1"/>
  <c r="D30" i="3" s="1"/>
  <c r="E30" i="3" a="1"/>
  <c r="E30" i="3" s="1"/>
  <c r="F30" i="3" a="1"/>
  <c r="F30" i="3" s="1"/>
  <c r="G30" i="3" a="1"/>
  <c r="G30" i="3" s="1"/>
  <c r="H30" i="3" a="1"/>
  <c r="H30" i="3" s="1"/>
  <c r="C31" i="3" a="1"/>
  <c r="C31" i="3" s="1"/>
  <c r="D31" i="3" a="1"/>
  <c r="D31" i="3" s="1"/>
  <c r="E31" i="3" a="1"/>
  <c r="E31" i="3" s="1"/>
  <c r="F31" i="3" a="1"/>
  <c r="F31" i="3" s="1"/>
  <c r="G31" i="3" a="1"/>
  <c r="G31" i="3" s="1"/>
  <c r="H31" i="3" a="1"/>
  <c r="H31" i="3" s="1"/>
  <c r="C32" i="3" a="1"/>
  <c r="C32" i="3" s="1"/>
  <c r="D32" i="3" a="1"/>
  <c r="D32" i="3" s="1"/>
  <c r="E32" i="3" a="1"/>
  <c r="E32" i="3" s="1"/>
  <c r="F32" i="3" a="1"/>
  <c r="F32" i="3" s="1"/>
  <c r="G32" i="3" a="1"/>
  <c r="G32" i="3" s="1"/>
  <c r="H32" i="3" a="1"/>
  <c r="H32" i="3" s="1"/>
  <c r="C33" i="3" a="1"/>
  <c r="C33" i="3" s="1"/>
  <c r="D33" i="3" a="1"/>
  <c r="D33" i="3" s="1"/>
  <c r="E33" i="3" a="1"/>
  <c r="E33" i="3" s="1"/>
  <c r="F33" i="3" a="1"/>
  <c r="F33" i="3" s="1"/>
  <c r="G33" i="3" a="1"/>
  <c r="G33" i="3" s="1"/>
  <c r="H33" i="3" a="1"/>
  <c r="H33" i="3" s="1"/>
  <c r="E4" i="3" a="1"/>
  <c r="E4" i="3" s="1"/>
  <c r="H4" i="3" a="1"/>
  <c r="H4" i="3" s="1"/>
  <c r="L287" i="1"/>
  <c r="L288" i="1"/>
  <c r="L289" i="1"/>
  <c r="L290" i="1"/>
  <c r="L291" i="1"/>
  <c r="L292" i="1"/>
  <c r="L293" i="1"/>
  <c r="L294" i="1"/>
  <c r="L295" i="1"/>
  <c r="I19" i="5" s="1" a="1"/>
  <c r="I19" i="5" s="1"/>
  <c r="L296" i="1"/>
  <c r="I30" i="5" s="1" a="1"/>
  <c r="I30" i="5" s="1"/>
  <c r="L297" i="1"/>
  <c r="L298" i="1"/>
  <c r="L299" i="1"/>
  <c r="I31" i="5" s="1" a="1"/>
  <c r="I31" i="5" s="1"/>
  <c r="L300" i="1"/>
  <c r="I17" i="5" s="1" a="1"/>
  <c r="I17" i="5" s="1"/>
  <c r="L301" i="1"/>
  <c r="I32" i="5" s="1" a="1"/>
  <c r="I32" i="5" s="1"/>
  <c r="L302" i="1"/>
  <c r="I33" i="5" s="1" a="1"/>
  <c r="I33" i="5" s="1"/>
  <c r="L303" i="1"/>
  <c r="L304" i="1"/>
  <c r="L305" i="1"/>
  <c r="L306" i="1"/>
  <c r="L307" i="1"/>
  <c r="L308" i="1"/>
  <c r="I18" i="5" s="1" a="1"/>
  <c r="I18" i="5" s="1"/>
  <c r="L309" i="1"/>
  <c r="L310" i="1"/>
  <c r="I35" i="5" s="1" a="1"/>
  <c r="I35" i="5" s="1"/>
  <c r="L311" i="1"/>
  <c r="L312" i="1"/>
  <c r="L313" i="1"/>
  <c r="L314" i="1"/>
  <c r="L315" i="1"/>
  <c r="L316" i="1"/>
  <c r="J13" i="3" s="1" a="1"/>
  <c r="J13" i="3" s="1"/>
  <c r="L317" i="1"/>
  <c r="L318" i="1"/>
  <c r="L319" i="1"/>
  <c r="J30" i="3" s="1" a="1"/>
  <c r="J30" i="3" s="1"/>
  <c r="L320" i="1"/>
  <c r="L321" i="1"/>
  <c r="L322" i="1"/>
  <c r="L323" i="1"/>
  <c r="L324" i="1"/>
  <c r="J32" i="3" s="1" a="1"/>
  <c r="J32" i="3" s="1"/>
  <c r="L325" i="1"/>
  <c r="L326" i="1"/>
  <c r="J4" i="3" s="1" a="1"/>
  <c r="J4" i="3" s="1"/>
  <c r="L327" i="1"/>
  <c r="J28" i="3" s="1" a="1"/>
  <c r="J28" i="3" s="1"/>
  <c r="L328" i="1"/>
  <c r="L329" i="1"/>
  <c r="J24" i="3" s="1" a="1"/>
  <c r="J24" i="3" s="1"/>
  <c r="L330" i="1"/>
  <c r="L331" i="1"/>
  <c r="J18" i="3" s="1" a="1"/>
  <c r="J18" i="3" s="1"/>
  <c r="L332" i="1"/>
  <c r="J22" i="3" s="1" a="1"/>
  <c r="J22" i="3" s="1"/>
  <c r="L333" i="1"/>
  <c r="L334" i="1"/>
  <c r="L335" i="1"/>
  <c r="J35" i="4" s="1" a="1"/>
  <c r="J35" i="4" s="1"/>
  <c r="L336" i="1"/>
  <c r="J7" i="4" s="1" a="1"/>
  <c r="J7" i="4" s="1"/>
  <c r="L337" i="1"/>
  <c r="L338" i="1"/>
  <c r="J10" i="4" s="1" a="1"/>
  <c r="J10" i="4" s="1"/>
  <c r="L339" i="1"/>
  <c r="J13" i="4" s="1" a="1"/>
  <c r="J13" i="4" s="1"/>
  <c r="L340" i="1"/>
  <c r="J29" i="4" s="1" a="1"/>
  <c r="J29" i="4" s="1"/>
  <c r="L341" i="1"/>
  <c r="J19" i="4" s="1" a="1"/>
  <c r="J19" i="4" s="1"/>
  <c r="L342" i="1"/>
  <c r="J30" i="4" s="1" a="1"/>
  <c r="J30" i="4" s="1"/>
  <c r="L343" i="1"/>
  <c r="L344" i="1"/>
  <c r="L345" i="1"/>
  <c r="L346" i="1"/>
  <c r="L347" i="1"/>
  <c r="P3" i="1" a="1"/>
  <c r="P3" i="1" s="1"/>
  <c r="F5" i="6" a="1"/>
  <c r="F5" i="6" s="1"/>
  <c r="G5" i="6" a="1"/>
  <c r="G5" i="6" s="1"/>
  <c r="I6" i="6" a="1"/>
  <c r="I6" i="6" s="1"/>
  <c r="J6" i="6" a="1"/>
  <c r="J6" i="6" s="1"/>
  <c r="F8" i="6" a="1"/>
  <c r="F8" i="6" s="1"/>
  <c r="G8" i="6" a="1"/>
  <c r="G8" i="6" s="1"/>
  <c r="I8" i="6" a="1"/>
  <c r="I8" i="6" s="1"/>
  <c r="J8" i="6" a="1"/>
  <c r="J8" i="6" s="1"/>
  <c r="I11" i="6" a="1"/>
  <c r="I11" i="6" s="1"/>
  <c r="J11" i="6" a="1"/>
  <c r="J11" i="6" s="1"/>
  <c r="I12" i="6" a="1"/>
  <c r="I12" i="6" s="1"/>
  <c r="J12" i="6" a="1"/>
  <c r="J12" i="6" s="1"/>
  <c r="F15" i="6" a="1"/>
  <c r="F15" i="6" s="1"/>
  <c r="G15" i="6" a="1"/>
  <c r="G15" i="6" s="1"/>
  <c r="I15" i="6" a="1"/>
  <c r="I15" i="6" s="1"/>
  <c r="J15" i="6" a="1"/>
  <c r="J15" i="6" s="1"/>
  <c r="F16" i="6" a="1"/>
  <c r="F16" i="6" s="1"/>
  <c r="G16" i="6" a="1"/>
  <c r="G16" i="6" s="1"/>
  <c r="I16" i="6" a="1"/>
  <c r="I16" i="6" s="1"/>
  <c r="J16" i="6" a="1"/>
  <c r="J16" i="6" s="1"/>
  <c r="F18" i="6" a="1"/>
  <c r="F18" i="6" s="1"/>
  <c r="G18" i="6" a="1"/>
  <c r="G18" i="6" s="1"/>
  <c r="I18" i="6" a="1"/>
  <c r="I18" i="6" s="1"/>
  <c r="J18" i="6" a="1"/>
  <c r="J18" i="6" s="1"/>
  <c r="F19" i="6" a="1"/>
  <c r="F19" i="6" s="1"/>
  <c r="G19" i="6" a="1"/>
  <c r="G19" i="6" s="1"/>
  <c r="F21" i="6" a="1"/>
  <c r="F21" i="6" s="1"/>
  <c r="G21" i="6" a="1"/>
  <c r="G21" i="6" s="1"/>
  <c r="I21" i="6" a="1"/>
  <c r="I21" i="6" s="1"/>
  <c r="J21" i="6" a="1"/>
  <c r="J21" i="6" s="1"/>
  <c r="F22" i="6" a="1"/>
  <c r="F22" i="6" s="1"/>
  <c r="G22" i="6" a="1"/>
  <c r="G22" i="6" s="1"/>
  <c r="F23" i="6" a="1"/>
  <c r="F23" i="6" s="1"/>
  <c r="G23" i="6" a="1"/>
  <c r="G23" i="6" s="1"/>
  <c r="F25" i="6" a="1"/>
  <c r="F25" i="6" s="1"/>
  <c r="G25" i="6" a="1"/>
  <c r="G25" i="6" s="1"/>
  <c r="I25" i="6" a="1"/>
  <c r="I25" i="6" s="1"/>
  <c r="J25" i="6" a="1"/>
  <c r="J25" i="6" s="1"/>
  <c r="C27" i="6" a="1"/>
  <c r="C27" i="6" s="1"/>
  <c r="D27" i="6" a="1"/>
  <c r="D27" i="6" s="1"/>
  <c r="C28" i="6" a="1"/>
  <c r="C28" i="6" s="1"/>
  <c r="D28" i="6" a="1"/>
  <c r="D28" i="6" s="1"/>
  <c r="F28" i="6" a="1"/>
  <c r="F28" i="6" s="1"/>
  <c r="G28" i="6" a="1"/>
  <c r="G28" i="6" s="1"/>
  <c r="C29" i="6" a="1"/>
  <c r="C29" i="6" s="1"/>
  <c r="D29" i="6" a="1"/>
  <c r="D29" i="6" s="1"/>
  <c r="F29" i="6" a="1"/>
  <c r="F29" i="6" s="1"/>
  <c r="G29" i="6" a="1"/>
  <c r="G29" i="6" s="1"/>
  <c r="C30" i="6" a="1"/>
  <c r="C30" i="6" s="1"/>
  <c r="D30" i="6" a="1"/>
  <c r="D30" i="6" s="1"/>
  <c r="F30" i="6" a="1"/>
  <c r="F30" i="6" s="1"/>
  <c r="G30" i="6" a="1"/>
  <c r="G30" i="6" s="1"/>
  <c r="C31" i="6" a="1"/>
  <c r="C31" i="6" s="1"/>
  <c r="D31" i="6" a="1"/>
  <c r="D31" i="6" s="1"/>
  <c r="F31" i="6" a="1"/>
  <c r="F31" i="6" s="1"/>
  <c r="G31" i="6" a="1"/>
  <c r="G31" i="6" s="1"/>
  <c r="C32" i="6" a="1"/>
  <c r="C32" i="6" s="1"/>
  <c r="D32" i="6" a="1"/>
  <c r="D32" i="6" s="1"/>
  <c r="F32" i="6" a="1"/>
  <c r="F32" i="6" s="1"/>
  <c r="G32" i="6" a="1"/>
  <c r="G32" i="6" s="1"/>
  <c r="C33" i="6" a="1"/>
  <c r="C33" i="6" s="1"/>
  <c r="D33" i="6" a="1"/>
  <c r="D33" i="6" s="1"/>
  <c r="F33" i="6" a="1"/>
  <c r="F33" i="6" s="1"/>
  <c r="G33" i="6" a="1"/>
  <c r="G33" i="6" s="1"/>
  <c r="C34" i="6" a="1"/>
  <c r="C34" i="6" s="1"/>
  <c r="D34" i="6" a="1"/>
  <c r="D34" i="6" s="1"/>
  <c r="F34" i="6" a="1"/>
  <c r="F34" i="6" s="1"/>
  <c r="G34" i="6" a="1"/>
  <c r="G34" i="6" s="1"/>
  <c r="C35" i="6" a="1"/>
  <c r="C35" i="6" s="1"/>
  <c r="D35" i="6" a="1"/>
  <c r="D35" i="6" s="1"/>
  <c r="F35" i="6" a="1"/>
  <c r="F35" i="6" s="1"/>
  <c r="G35" i="6" a="1"/>
  <c r="G35" i="6" s="1"/>
  <c r="C36" i="6" a="1"/>
  <c r="C36" i="6" s="1"/>
  <c r="D36" i="6" a="1"/>
  <c r="D36" i="6" s="1"/>
  <c r="F36" i="6" a="1"/>
  <c r="F36" i="6" s="1"/>
  <c r="G36" i="6" a="1"/>
  <c r="G36" i="6" s="1"/>
  <c r="J4" i="6" a="1"/>
  <c r="J4" i="6" s="1"/>
  <c r="I30" i="7" a="1"/>
  <c r="I30" i="7" s="1"/>
  <c r="I35" i="7" a="1"/>
  <c r="I35" i="7" s="1"/>
  <c r="I20" i="7" a="1"/>
  <c r="I20" i="7" s="1"/>
  <c r="J29" i="6" a="1"/>
  <c r="J29" i="6" s="1"/>
  <c r="J36" i="6" a="1"/>
  <c r="J36" i="6" s="1"/>
  <c r="I39" i="7" a="1"/>
  <c r="I39" i="7" s="1"/>
  <c r="C12" i="7" a="1"/>
  <c r="C12" i="7" s="1"/>
  <c r="C6" i="7" a="1"/>
  <c r="C6" i="7" s="1"/>
  <c r="C11" i="7" a="1"/>
  <c r="C11" i="7" s="1"/>
  <c r="C20" i="7" a="1"/>
  <c r="C20" i="7" s="1"/>
  <c r="D4" i="7" a="1"/>
  <c r="D4" i="7" s="1"/>
  <c r="D7" i="7" a="1"/>
  <c r="D7" i="7" s="1"/>
  <c r="D12" i="7" a="1"/>
  <c r="D12" i="7" s="1"/>
  <c r="D20" i="7" a="1"/>
  <c r="D20" i="7" s="1"/>
  <c r="D23" i="7" a="1"/>
  <c r="D23" i="7" s="1"/>
  <c r="F27" i="7" a="1"/>
  <c r="F27" i="7" s="1"/>
  <c r="F6" i="7" a="1"/>
  <c r="F6" i="7" s="1"/>
  <c r="F26" i="7" a="1"/>
  <c r="F26" i="7" s="1"/>
  <c r="F17" i="7" a="1"/>
  <c r="F17" i="7" s="1"/>
  <c r="F13" i="7" a="1"/>
  <c r="F13" i="7" s="1"/>
  <c r="G7" i="7" a="1"/>
  <c r="G7" i="7" s="1"/>
  <c r="G9" i="7" a="1"/>
  <c r="G9" i="7" s="1"/>
  <c r="G13" i="7" a="1"/>
  <c r="G13" i="7" s="1"/>
  <c r="I19" i="6" a="1"/>
  <c r="I19" i="6" s="1"/>
  <c r="I40" i="6" a="1"/>
  <c r="I40" i="6" s="1"/>
  <c r="I27" i="7" a="1"/>
  <c r="I27" i="7" s="1"/>
  <c r="L3" i="1"/>
  <c r="C4" i="3" s="1" a="1"/>
  <c r="C4" i="3" s="1"/>
  <c r="L4" i="1"/>
  <c r="C5" i="3" s="1" a="1"/>
  <c r="C5" i="3" s="1"/>
  <c r="L5" i="1"/>
  <c r="C6" i="3" s="1" a="1"/>
  <c r="C6" i="3" s="1"/>
  <c r="L6" i="1"/>
  <c r="C7" i="3" s="1" a="1"/>
  <c r="C7" i="3" s="1"/>
  <c r="L7" i="1"/>
  <c r="C8" i="3" s="1" a="1"/>
  <c r="C8" i="3" s="1"/>
  <c r="L8" i="1"/>
  <c r="C9" i="3" s="1" a="1"/>
  <c r="C9" i="3" s="1"/>
  <c r="L9" i="1"/>
  <c r="C10" i="3" s="1" a="1"/>
  <c r="C10" i="3" s="1"/>
  <c r="L10" i="1"/>
  <c r="C11" i="3" s="1" a="1"/>
  <c r="C11" i="3" s="1"/>
  <c r="L11" i="1"/>
  <c r="C12" i="3" s="1" a="1"/>
  <c r="C12" i="3" s="1"/>
  <c r="L12" i="1"/>
  <c r="C13" i="3" s="1" a="1"/>
  <c r="C13" i="3" s="1"/>
  <c r="L13" i="1"/>
  <c r="C14" i="3" s="1" a="1"/>
  <c r="C14" i="3" s="1"/>
  <c r="L14" i="1"/>
  <c r="C15" i="3" s="1" a="1"/>
  <c r="C15" i="3" s="1"/>
  <c r="L15" i="1"/>
  <c r="C16" i="3" s="1" a="1"/>
  <c r="C16" i="3" s="1"/>
  <c r="L16" i="1"/>
  <c r="C17" i="3" s="1" a="1"/>
  <c r="C17" i="3" s="1"/>
  <c r="L17" i="1"/>
  <c r="C18" i="3" s="1" a="1"/>
  <c r="C18" i="3" s="1"/>
  <c r="L18" i="1"/>
  <c r="C19" i="3" s="1" a="1"/>
  <c r="C19" i="3" s="1"/>
  <c r="L19" i="1"/>
  <c r="C20" i="3" s="1" a="1"/>
  <c r="C20" i="3" s="1"/>
  <c r="L20" i="1"/>
  <c r="C21" i="3" s="1" a="1"/>
  <c r="C21" i="3" s="1"/>
  <c r="L21" i="1"/>
  <c r="C22" i="3" s="1" a="1"/>
  <c r="C22" i="3" s="1"/>
  <c r="L22" i="1"/>
  <c r="C23" i="3" s="1" a="1"/>
  <c r="C23" i="3" s="1"/>
  <c r="L23" i="1"/>
  <c r="C24" i="3" s="1" a="1"/>
  <c r="C24" i="3" s="1"/>
  <c r="L24" i="1"/>
  <c r="C25" i="3" s="1" a="1"/>
  <c r="C25" i="3" s="1"/>
  <c r="L25" i="1"/>
  <c r="C26" i="3" s="1" a="1"/>
  <c r="C26" i="3" s="1"/>
  <c r="L26" i="1"/>
  <c r="L27" i="1"/>
  <c r="C4" i="4" s="1" a="1"/>
  <c r="C4" i="4" s="1"/>
  <c r="L28" i="1"/>
  <c r="C5" i="4" s="1" a="1"/>
  <c r="C5" i="4" s="1"/>
  <c r="L29" i="1"/>
  <c r="C6" i="4" s="1" a="1"/>
  <c r="C6" i="4" s="1"/>
  <c r="L30" i="1"/>
  <c r="C7" i="4" s="1" a="1"/>
  <c r="C7" i="4" s="1"/>
  <c r="L31" i="1"/>
  <c r="C8" i="4" s="1" a="1"/>
  <c r="C8" i="4" s="1"/>
  <c r="L32" i="1"/>
  <c r="C9" i="4" s="1" a="1"/>
  <c r="C9" i="4" s="1"/>
  <c r="L33" i="1"/>
  <c r="C10" i="4" s="1" a="1"/>
  <c r="C10" i="4" s="1"/>
  <c r="L34" i="1"/>
  <c r="C11" i="4" s="1" a="1"/>
  <c r="C11" i="4" s="1"/>
  <c r="L35" i="1"/>
  <c r="C12" i="4" s="1" a="1"/>
  <c r="C12" i="4" s="1"/>
  <c r="L36" i="1"/>
  <c r="C13" i="4" s="1" a="1"/>
  <c r="C13" i="4" s="1"/>
  <c r="L37" i="1"/>
  <c r="C14" i="4" s="1" a="1"/>
  <c r="C14" i="4" s="1"/>
  <c r="L38" i="1"/>
  <c r="C15" i="4" s="1" a="1"/>
  <c r="C15" i="4" s="1"/>
  <c r="L39" i="1"/>
  <c r="C16" i="4" s="1" a="1"/>
  <c r="C16" i="4" s="1"/>
  <c r="L40" i="1"/>
  <c r="C17" i="4" s="1" a="1"/>
  <c r="C17" i="4" s="1"/>
  <c r="L41" i="1"/>
  <c r="C18" i="4" s="1" a="1"/>
  <c r="C18" i="4" s="1"/>
  <c r="L42" i="1"/>
  <c r="C19" i="4" s="1" a="1"/>
  <c r="C19" i="4" s="1"/>
  <c r="L43" i="1"/>
  <c r="C20" i="4" s="1" a="1"/>
  <c r="C20" i="4" s="1"/>
  <c r="L44" i="1"/>
  <c r="C21" i="4" s="1" a="1"/>
  <c r="C21" i="4" s="1"/>
  <c r="L45" i="1"/>
  <c r="C22" i="4" s="1" a="1"/>
  <c r="C22" i="4" s="1"/>
  <c r="L46" i="1"/>
  <c r="C23" i="4" s="1" a="1"/>
  <c r="C23" i="4" s="1"/>
  <c r="L47" i="1"/>
  <c r="C24" i="4" s="1" a="1"/>
  <c r="C24" i="4" s="1"/>
  <c r="L48" i="1"/>
  <c r="C25" i="4" s="1" a="1"/>
  <c r="C25" i="4" s="1"/>
  <c r="L49" i="1"/>
  <c r="C26" i="4" s="1" a="1"/>
  <c r="C26" i="4" s="1"/>
  <c r="L50" i="1"/>
  <c r="L51" i="1"/>
  <c r="C4" i="5" s="1" a="1"/>
  <c r="C4" i="5" s="1"/>
  <c r="L52" i="1"/>
  <c r="C5" i="5" s="1" a="1"/>
  <c r="C5" i="5" s="1"/>
  <c r="L53" i="1"/>
  <c r="C6" i="5" s="1" a="1"/>
  <c r="C6" i="5" s="1"/>
  <c r="L54" i="1"/>
  <c r="C7" i="5" s="1" a="1"/>
  <c r="C7" i="5" s="1"/>
  <c r="L55" i="1"/>
  <c r="C8" i="5" s="1" a="1"/>
  <c r="C8" i="5" s="1"/>
  <c r="L56" i="1"/>
  <c r="C9" i="5" s="1" a="1"/>
  <c r="C9" i="5" s="1"/>
  <c r="L57" i="1"/>
  <c r="C10" i="5" s="1" a="1"/>
  <c r="C10" i="5" s="1"/>
  <c r="L58" i="1"/>
  <c r="C11" i="5" s="1" a="1"/>
  <c r="C11" i="5" s="1"/>
  <c r="L59" i="1"/>
  <c r="C12" i="5" s="1" a="1"/>
  <c r="C12" i="5" s="1"/>
  <c r="L60" i="1"/>
  <c r="C13" i="5" s="1" a="1"/>
  <c r="C13" i="5" s="1"/>
  <c r="L61" i="1"/>
  <c r="C14" i="5" s="1" a="1"/>
  <c r="C14" i="5" s="1"/>
  <c r="L62" i="1"/>
  <c r="C15" i="5" s="1" a="1"/>
  <c r="C15" i="5" s="1"/>
  <c r="L63" i="1"/>
  <c r="C16" i="5" s="1" a="1"/>
  <c r="C16" i="5" s="1"/>
  <c r="L64" i="1"/>
  <c r="C17" i="5" s="1" a="1"/>
  <c r="C17" i="5" s="1"/>
  <c r="L65" i="1"/>
  <c r="C18" i="5" s="1" a="1"/>
  <c r="C18" i="5" s="1"/>
  <c r="L66" i="1"/>
  <c r="C19" i="5" s="1" a="1"/>
  <c r="C19" i="5" s="1"/>
  <c r="L67" i="1"/>
  <c r="C20" i="5" s="1" a="1"/>
  <c r="C20" i="5" s="1"/>
  <c r="L68" i="1"/>
  <c r="C21" i="5" s="1" a="1"/>
  <c r="C21" i="5" s="1"/>
  <c r="L69" i="1"/>
  <c r="C22" i="5" s="1" a="1"/>
  <c r="C22" i="5" s="1"/>
  <c r="L70" i="1"/>
  <c r="C23" i="5" s="1" a="1"/>
  <c r="C23" i="5" s="1"/>
  <c r="L71" i="1"/>
  <c r="C24" i="5" s="1" a="1"/>
  <c r="C24" i="5" s="1"/>
  <c r="L72" i="1"/>
  <c r="C25" i="5" s="1" a="1"/>
  <c r="C25" i="5" s="1"/>
  <c r="L73" i="1"/>
  <c r="C26" i="5" s="1" a="1"/>
  <c r="C26" i="5" s="1"/>
  <c r="L74" i="1"/>
  <c r="L75" i="1"/>
  <c r="D4" i="3" s="1" a="1"/>
  <c r="D4" i="3" s="1"/>
  <c r="L76" i="1"/>
  <c r="D5" i="3" s="1" a="1"/>
  <c r="D5" i="3" s="1"/>
  <c r="L77" i="1"/>
  <c r="D6" i="3" s="1" a="1"/>
  <c r="D6" i="3" s="1"/>
  <c r="L78" i="1"/>
  <c r="D7" i="3" s="1" a="1"/>
  <c r="D7" i="3" s="1"/>
  <c r="L79" i="1"/>
  <c r="D8" i="3" s="1" a="1"/>
  <c r="D8" i="3" s="1"/>
  <c r="L80" i="1"/>
  <c r="D9" i="3" s="1" a="1"/>
  <c r="D9" i="3" s="1"/>
  <c r="L81" i="1"/>
  <c r="D10" i="3" s="1" a="1"/>
  <c r="D10" i="3" s="1"/>
  <c r="L82" i="1"/>
  <c r="D11" i="3" s="1" a="1"/>
  <c r="D11" i="3" s="1"/>
  <c r="L83" i="1"/>
  <c r="D12" i="3" s="1" a="1"/>
  <c r="D12" i="3" s="1"/>
  <c r="L84" i="1"/>
  <c r="D13" i="3" s="1" a="1"/>
  <c r="D13" i="3" s="1"/>
  <c r="L85" i="1"/>
  <c r="D14" i="3" s="1" a="1"/>
  <c r="D14" i="3" s="1"/>
  <c r="L86" i="1"/>
  <c r="D15" i="3" s="1" a="1"/>
  <c r="D15" i="3" s="1"/>
  <c r="L87" i="1"/>
  <c r="D16" i="3" s="1" a="1"/>
  <c r="D16" i="3" s="1"/>
  <c r="L88" i="1"/>
  <c r="D17" i="3" s="1" a="1"/>
  <c r="D17" i="3" s="1"/>
  <c r="L89" i="1"/>
  <c r="D18" i="3" s="1" a="1"/>
  <c r="D18" i="3" s="1"/>
  <c r="L90" i="1"/>
  <c r="D19" i="3" s="1" a="1"/>
  <c r="D19" i="3" s="1"/>
  <c r="L91" i="1"/>
  <c r="D20" i="3" s="1" a="1"/>
  <c r="D20" i="3" s="1"/>
  <c r="L92" i="1"/>
  <c r="D21" i="3" s="1" a="1"/>
  <c r="D21" i="3" s="1"/>
  <c r="L93" i="1"/>
  <c r="D22" i="3" s="1" a="1"/>
  <c r="D22" i="3" s="1"/>
  <c r="L94" i="1"/>
  <c r="D23" i="3" s="1" a="1"/>
  <c r="D23" i="3" s="1"/>
  <c r="L95" i="1"/>
  <c r="D24" i="3" s="1" a="1"/>
  <c r="D24" i="3" s="1"/>
  <c r="L96" i="1"/>
  <c r="D25" i="3" s="1" a="1"/>
  <c r="D25" i="3" s="1"/>
  <c r="L97" i="1"/>
  <c r="D26" i="3" s="1" a="1"/>
  <c r="D26" i="3" s="1"/>
  <c r="L98" i="1"/>
  <c r="L99" i="1"/>
  <c r="D4" i="4" s="1" a="1"/>
  <c r="D4" i="4" s="1"/>
  <c r="L100" i="1"/>
  <c r="D5" i="4" s="1" a="1"/>
  <c r="D5" i="4" s="1"/>
  <c r="L101" i="1"/>
  <c r="D6" i="4" s="1" a="1"/>
  <c r="D6" i="4" s="1"/>
  <c r="L102" i="1"/>
  <c r="D7" i="4" s="1" a="1"/>
  <c r="D7" i="4" s="1"/>
  <c r="L103" i="1"/>
  <c r="D8" i="4" s="1" a="1"/>
  <c r="D8" i="4" s="1"/>
  <c r="L104" i="1"/>
  <c r="D9" i="4" s="1" a="1"/>
  <c r="D9" i="4" s="1"/>
  <c r="L105" i="1"/>
  <c r="D10" i="4" s="1" a="1"/>
  <c r="D10" i="4" s="1"/>
  <c r="L106" i="1"/>
  <c r="D11" i="4" s="1" a="1"/>
  <c r="D11" i="4" s="1"/>
  <c r="L107" i="1"/>
  <c r="D12" i="4" s="1" a="1"/>
  <c r="D12" i="4" s="1"/>
  <c r="L108" i="1"/>
  <c r="D13" i="4" s="1" a="1"/>
  <c r="D13" i="4" s="1"/>
  <c r="L109" i="1"/>
  <c r="D14" i="4" s="1" a="1"/>
  <c r="D14" i="4" s="1"/>
  <c r="L110" i="1"/>
  <c r="D15" i="4" s="1" a="1"/>
  <c r="D15" i="4" s="1"/>
  <c r="L111" i="1"/>
  <c r="D16" i="4" s="1" a="1"/>
  <c r="D16" i="4" s="1"/>
  <c r="L112" i="1"/>
  <c r="D17" i="4" s="1" a="1"/>
  <c r="D17" i="4" s="1"/>
  <c r="L113" i="1"/>
  <c r="D18" i="4" s="1" a="1"/>
  <c r="D18" i="4" s="1"/>
  <c r="L114" i="1"/>
  <c r="D19" i="4" s="1" a="1"/>
  <c r="D19" i="4" s="1"/>
  <c r="L115" i="1"/>
  <c r="D20" i="4" s="1" a="1"/>
  <c r="D20" i="4" s="1"/>
  <c r="L116" i="1"/>
  <c r="D21" i="4" s="1" a="1"/>
  <c r="D21" i="4" s="1"/>
  <c r="L117" i="1"/>
  <c r="D22" i="4" s="1" a="1"/>
  <c r="D22" i="4" s="1"/>
  <c r="L118" i="1"/>
  <c r="D23" i="4" s="1" a="1"/>
  <c r="D23" i="4" s="1"/>
  <c r="L119" i="1"/>
  <c r="D24" i="4" s="1" a="1"/>
  <c r="D24" i="4" s="1"/>
  <c r="L120" i="1"/>
  <c r="D25" i="4" s="1" a="1"/>
  <c r="D25" i="4" s="1"/>
  <c r="L121" i="1"/>
  <c r="D26" i="4" s="1" a="1"/>
  <c r="D26" i="4" s="1"/>
  <c r="L122" i="1"/>
  <c r="L123" i="1"/>
  <c r="D4" i="5" s="1" a="1"/>
  <c r="D4" i="5" s="1"/>
  <c r="L124" i="1"/>
  <c r="D5" i="5" s="1" a="1"/>
  <c r="D5" i="5" s="1"/>
  <c r="L125" i="1"/>
  <c r="D6" i="5" s="1" a="1"/>
  <c r="D6" i="5" s="1"/>
  <c r="L126" i="1"/>
  <c r="D7" i="5" s="1" a="1"/>
  <c r="D7" i="5" s="1"/>
  <c r="L127" i="1"/>
  <c r="D8" i="5" s="1" a="1"/>
  <c r="D8" i="5" s="1"/>
  <c r="L128" i="1"/>
  <c r="D9" i="5" s="1" a="1"/>
  <c r="D9" i="5" s="1"/>
  <c r="L129" i="1"/>
  <c r="D10" i="5" s="1" a="1"/>
  <c r="D10" i="5" s="1"/>
  <c r="L130" i="1"/>
  <c r="D11" i="5" s="1" a="1"/>
  <c r="D11" i="5" s="1"/>
  <c r="L131" i="1"/>
  <c r="D12" i="5" s="1" a="1"/>
  <c r="D12" i="5" s="1"/>
  <c r="L132" i="1"/>
  <c r="D13" i="5" s="1" a="1"/>
  <c r="D13" i="5" s="1"/>
  <c r="L133" i="1"/>
  <c r="D14" i="5" s="1" a="1"/>
  <c r="D14" i="5" s="1"/>
  <c r="L134" i="1"/>
  <c r="D15" i="5" s="1" a="1"/>
  <c r="D15" i="5" s="1"/>
  <c r="L135" i="1"/>
  <c r="D16" i="5" s="1" a="1"/>
  <c r="D16" i="5" s="1"/>
  <c r="L136" i="1"/>
  <c r="D17" i="5" s="1" a="1"/>
  <c r="D17" i="5" s="1"/>
  <c r="L137" i="1"/>
  <c r="D18" i="5" s="1" a="1"/>
  <c r="D18" i="5" s="1"/>
  <c r="L138" i="1"/>
  <c r="D19" i="5" s="1" a="1"/>
  <c r="D19" i="5" s="1"/>
  <c r="L139" i="1"/>
  <c r="D20" i="5" s="1" a="1"/>
  <c r="D20" i="5" s="1"/>
  <c r="L140" i="1"/>
  <c r="D21" i="5" s="1" a="1"/>
  <c r="D21" i="5" s="1"/>
  <c r="L141" i="1"/>
  <c r="D22" i="5" s="1" a="1"/>
  <c r="D22" i="5" s="1"/>
  <c r="L142" i="1"/>
  <c r="D23" i="5" s="1" a="1"/>
  <c r="D23" i="5" s="1"/>
  <c r="L143" i="1"/>
  <c r="D24" i="5" s="1" a="1"/>
  <c r="D24" i="5" s="1"/>
  <c r="L144" i="1"/>
  <c r="D25" i="5" s="1" a="1"/>
  <c r="D25" i="5" s="1"/>
  <c r="L145" i="1"/>
  <c r="D26" i="5" s="1" a="1"/>
  <c r="D26" i="5" s="1"/>
  <c r="L146" i="1"/>
  <c r="L147" i="1"/>
  <c r="F27" i="3" s="1" a="1"/>
  <c r="F27" i="3" s="1"/>
  <c r="L148" i="1"/>
  <c r="F7" i="3" s="1" a="1"/>
  <c r="F7" i="3" s="1"/>
  <c r="L149" i="1"/>
  <c r="F10" i="3" s="1" a="1"/>
  <c r="F10" i="3" s="1"/>
  <c r="L150" i="1"/>
  <c r="F28" i="3" s="1" a="1"/>
  <c r="F28" i="3" s="1"/>
  <c r="L151" i="1"/>
  <c r="F4" i="3" s="1" a="1"/>
  <c r="F4" i="3" s="1"/>
  <c r="L152" i="1"/>
  <c r="F6" i="3" s="1" a="1"/>
  <c r="F6" i="3" s="1"/>
  <c r="L153" i="1"/>
  <c r="F9" i="3" s="1" a="1"/>
  <c r="F9" i="3" s="1"/>
  <c r="L154" i="1"/>
  <c r="F14" i="3" s="1" a="1"/>
  <c r="F14" i="3" s="1"/>
  <c r="L155" i="1"/>
  <c r="F24" i="3" s="1" a="1"/>
  <c r="F24" i="3" s="1"/>
  <c r="L156" i="1"/>
  <c r="F20" i="3" s="1" a="1"/>
  <c r="F20" i="3" s="1"/>
  <c r="L157" i="1"/>
  <c r="F26" i="3" s="1" a="1"/>
  <c r="F26" i="3" s="1"/>
  <c r="L158" i="1"/>
  <c r="F17" i="3" s="1" a="1"/>
  <c r="F17" i="3" s="1"/>
  <c r="L159" i="1"/>
  <c r="F12" i="3" s="1" a="1"/>
  <c r="F12" i="3" s="1"/>
  <c r="L160" i="1"/>
  <c r="F13" i="3" s="1" a="1"/>
  <c r="F13" i="3" s="1"/>
  <c r="L161" i="1"/>
  <c r="F19" i="3" s="1" a="1"/>
  <c r="F19" i="3" s="1"/>
  <c r="L162" i="1"/>
  <c r="L163" i="1"/>
  <c r="F27" i="4" s="1" a="1"/>
  <c r="F27" i="4" s="1"/>
  <c r="L164" i="1"/>
  <c r="F7" i="4" s="1" a="1"/>
  <c r="F7" i="4" s="1"/>
  <c r="L165" i="1"/>
  <c r="F10" i="4" s="1" a="1"/>
  <c r="F10" i="4" s="1"/>
  <c r="L166" i="1"/>
  <c r="F28" i="4" s="1" a="1"/>
  <c r="F28" i="4" s="1"/>
  <c r="L167" i="1"/>
  <c r="F4" i="4" s="1" a="1"/>
  <c r="F4" i="4" s="1"/>
  <c r="L168" i="1"/>
  <c r="F6" i="4" s="1" a="1"/>
  <c r="F6" i="4" s="1"/>
  <c r="L169" i="1"/>
  <c r="F9" i="4" s="1" a="1"/>
  <c r="F9" i="4" s="1"/>
  <c r="L170" i="1"/>
  <c r="F14" i="4" s="1" a="1"/>
  <c r="F14" i="4" s="1"/>
  <c r="L171" i="1"/>
  <c r="F24" i="4" s="1" a="1"/>
  <c r="F24" i="4" s="1"/>
  <c r="L172" i="1"/>
  <c r="F20" i="4" s="1" a="1"/>
  <c r="F20" i="4" s="1"/>
  <c r="L173" i="1"/>
  <c r="F26" i="4" s="1" a="1"/>
  <c r="F26" i="4" s="1"/>
  <c r="L174" i="1"/>
  <c r="F17" i="4" s="1" a="1"/>
  <c r="F17" i="4" s="1"/>
  <c r="L175" i="1"/>
  <c r="F12" i="4" s="1" a="1"/>
  <c r="F12" i="4" s="1"/>
  <c r="L176" i="1"/>
  <c r="F13" i="4" s="1" a="1"/>
  <c r="F13" i="4" s="1"/>
  <c r="L177" i="1"/>
  <c r="F19" i="4" s="1" a="1"/>
  <c r="F19" i="4" s="1"/>
  <c r="L178" i="1"/>
  <c r="L179" i="1"/>
  <c r="F27" i="5" s="1" a="1"/>
  <c r="F27" i="5" s="1"/>
  <c r="L180" i="1"/>
  <c r="F7" i="5" s="1" a="1"/>
  <c r="F7" i="5" s="1"/>
  <c r="L181" i="1"/>
  <c r="F10" i="5" s="1" a="1"/>
  <c r="F10" i="5" s="1"/>
  <c r="L182" i="1"/>
  <c r="F28" i="5" s="1" a="1"/>
  <c r="F28" i="5" s="1"/>
  <c r="L183" i="1"/>
  <c r="F4" i="5" s="1" a="1"/>
  <c r="F4" i="5" s="1"/>
  <c r="L184" i="1"/>
  <c r="F6" i="5" s="1" a="1"/>
  <c r="F6" i="5" s="1"/>
  <c r="L185" i="1"/>
  <c r="F9" i="5" s="1" a="1"/>
  <c r="F9" i="5" s="1"/>
  <c r="L186" i="1"/>
  <c r="F14" i="5" s="1" a="1"/>
  <c r="F14" i="5" s="1"/>
  <c r="L187" i="1"/>
  <c r="F24" i="5" s="1" a="1"/>
  <c r="F24" i="5" s="1"/>
  <c r="L188" i="1"/>
  <c r="F20" i="5" s="1" a="1"/>
  <c r="F20" i="5" s="1"/>
  <c r="L189" i="1"/>
  <c r="F26" i="5" s="1" a="1"/>
  <c r="F26" i="5" s="1"/>
  <c r="L190" i="1"/>
  <c r="F17" i="5" s="1" a="1"/>
  <c r="F17" i="5" s="1"/>
  <c r="L191" i="1"/>
  <c r="F12" i="5" s="1" a="1"/>
  <c r="F12" i="5" s="1"/>
  <c r="L192" i="1"/>
  <c r="F13" i="5" s="1" a="1"/>
  <c r="F13" i="5" s="1"/>
  <c r="L193" i="1"/>
  <c r="F19" i="5" s="1" a="1"/>
  <c r="F19" i="5" s="1"/>
  <c r="L194" i="1"/>
  <c r="L195" i="1"/>
  <c r="G27" i="3" s="1" a="1"/>
  <c r="G27" i="3" s="1"/>
  <c r="L196" i="1"/>
  <c r="G7" i="3" s="1" a="1"/>
  <c r="G7" i="3" s="1"/>
  <c r="L197" i="1"/>
  <c r="G10" i="3" s="1" a="1"/>
  <c r="G10" i="3" s="1"/>
  <c r="L198" i="1"/>
  <c r="G28" i="3" s="1" a="1"/>
  <c r="G28" i="3" s="1"/>
  <c r="L199" i="1"/>
  <c r="G4" i="3" s="1" a="1"/>
  <c r="G4" i="3" s="1"/>
  <c r="L200" i="1"/>
  <c r="G6" i="3" s="1" a="1"/>
  <c r="G6" i="3" s="1"/>
  <c r="L201" i="1"/>
  <c r="G9" i="3" s="1" a="1"/>
  <c r="G9" i="3" s="1"/>
  <c r="L202" i="1"/>
  <c r="G14" i="3" s="1" a="1"/>
  <c r="G14" i="3" s="1"/>
  <c r="L203" i="1"/>
  <c r="G24" i="3" s="1" a="1"/>
  <c r="G24" i="3" s="1"/>
  <c r="L204" i="1"/>
  <c r="G20" i="3" s="1" a="1"/>
  <c r="G20" i="3" s="1"/>
  <c r="L205" i="1"/>
  <c r="G26" i="3" s="1" a="1"/>
  <c r="G26" i="3" s="1"/>
  <c r="L206" i="1"/>
  <c r="G17" i="3" s="1" a="1"/>
  <c r="G17" i="3" s="1"/>
  <c r="L207" i="1"/>
  <c r="G12" i="3" s="1" a="1"/>
  <c r="G12" i="3" s="1"/>
  <c r="L208" i="1"/>
  <c r="G13" i="3" s="1" a="1"/>
  <c r="G13" i="3" s="1"/>
  <c r="L209" i="1"/>
  <c r="G19" i="3" s="1" a="1"/>
  <c r="G19" i="3" s="1"/>
  <c r="L210" i="1"/>
  <c r="L211" i="1"/>
  <c r="G27" i="4" s="1" a="1"/>
  <c r="G27" i="4" s="1"/>
  <c r="L212" i="1"/>
  <c r="G7" i="4" s="1" a="1"/>
  <c r="G7" i="4" s="1"/>
  <c r="L213" i="1"/>
  <c r="G10" i="4" s="1" a="1"/>
  <c r="G10" i="4" s="1"/>
  <c r="L214" i="1"/>
  <c r="G28" i="4" s="1" a="1"/>
  <c r="G28" i="4" s="1"/>
  <c r="L215" i="1"/>
  <c r="G4" i="4" s="1" a="1"/>
  <c r="G4" i="4" s="1"/>
  <c r="L216" i="1"/>
  <c r="G6" i="4" s="1" a="1"/>
  <c r="G6" i="4" s="1"/>
  <c r="L217" i="1"/>
  <c r="G9" i="4" s="1" a="1"/>
  <c r="G9" i="4" s="1"/>
  <c r="L218" i="1"/>
  <c r="G14" i="4" s="1" a="1"/>
  <c r="G14" i="4" s="1"/>
  <c r="L219" i="1"/>
  <c r="G24" i="4" s="1" a="1"/>
  <c r="G24" i="4" s="1"/>
  <c r="L220" i="1"/>
  <c r="G20" i="4" s="1" a="1"/>
  <c r="G20" i="4" s="1"/>
  <c r="L221" i="1"/>
  <c r="G26" i="4" s="1" a="1"/>
  <c r="G26" i="4" s="1"/>
  <c r="L222" i="1"/>
  <c r="G17" i="4" s="1" a="1"/>
  <c r="G17" i="4" s="1"/>
  <c r="L223" i="1"/>
  <c r="G12" i="4" s="1" a="1"/>
  <c r="G12" i="4" s="1"/>
  <c r="L224" i="1"/>
  <c r="G13" i="4" s="1" a="1"/>
  <c r="G13" i="4" s="1"/>
  <c r="L225" i="1"/>
  <c r="G19" i="4" s="1" a="1"/>
  <c r="G19" i="4" s="1"/>
  <c r="L226" i="1"/>
  <c r="L227" i="1"/>
  <c r="G27" i="5" s="1" a="1"/>
  <c r="G27" i="5" s="1"/>
  <c r="L228" i="1"/>
  <c r="G7" i="5" s="1" a="1"/>
  <c r="G7" i="5" s="1"/>
  <c r="L229" i="1"/>
  <c r="G10" i="5" s="1" a="1"/>
  <c r="G10" i="5" s="1"/>
  <c r="L230" i="1"/>
  <c r="G28" i="5" s="1" a="1"/>
  <c r="G28" i="5" s="1"/>
  <c r="L231" i="1"/>
  <c r="G4" i="5" s="1" a="1"/>
  <c r="G4" i="5" s="1"/>
  <c r="L232" i="1"/>
  <c r="G6" i="5" s="1" a="1"/>
  <c r="G6" i="5" s="1"/>
  <c r="L233" i="1"/>
  <c r="G9" i="5" s="1" a="1"/>
  <c r="G9" i="5" s="1"/>
  <c r="L234" i="1"/>
  <c r="G14" i="5" s="1" a="1"/>
  <c r="G14" i="5" s="1"/>
  <c r="L235" i="1"/>
  <c r="G24" i="5" s="1" a="1"/>
  <c r="G24" i="5" s="1"/>
  <c r="L236" i="1"/>
  <c r="G20" i="5" s="1" a="1"/>
  <c r="G20" i="5" s="1"/>
  <c r="L237" i="1"/>
  <c r="G26" i="5" s="1" a="1"/>
  <c r="G26" i="5" s="1"/>
  <c r="L238" i="1"/>
  <c r="G17" i="5" s="1" a="1"/>
  <c r="G17" i="5" s="1"/>
  <c r="L239" i="1"/>
  <c r="G12" i="5" s="1" a="1"/>
  <c r="G12" i="5" s="1"/>
  <c r="L240" i="1"/>
  <c r="G13" i="5" s="1" a="1"/>
  <c r="G13" i="5" s="1"/>
  <c r="L241" i="1"/>
  <c r="G19" i="5" s="1" a="1"/>
  <c r="G19" i="5" s="1"/>
  <c r="L242" i="1"/>
  <c r="L243" i="1"/>
  <c r="I27" i="3" s="1" a="1"/>
  <c r="I27" i="3" s="1"/>
  <c r="L244" i="1"/>
  <c r="I7" i="3" s="1" a="1"/>
  <c r="I7" i="3" s="1"/>
  <c r="L245" i="1"/>
  <c r="L246" i="1"/>
  <c r="I10" i="3" s="1" a="1"/>
  <c r="I10" i="3" s="1"/>
  <c r="L247" i="1"/>
  <c r="L248" i="1"/>
  <c r="I29" i="3" s="1" a="1"/>
  <c r="I29" i="3" s="1"/>
  <c r="L249" i="1"/>
  <c r="I19" i="3" s="1" a="1"/>
  <c r="I19" i="3" s="1"/>
  <c r="L250" i="1"/>
  <c r="I30" i="3" s="1" a="1"/>
  <c r="I30" i="3" s="1"/>
  <c r="L251" i="1"/>
  <c r="L252" i="1"/>
  <c r="I26" i="3" s="1" a="1"/>
  <c r="I26" i="3" s="1"/>
  <c r="L253" i="1"/>
  <c r="I31" i="3" s="1" a="1"/>
  <c r="I31" i="3" s="1"/>
  <c r="L254" i="1"/>
  <c r="I17" i="3" s="1" a="1"/>
  <c r="I17" i="3" s="1"/>
  <c r="L255" i="1"/>
  <c r="I32" i="3" s="1" a="1"/>
  <c r="I32" i="3" s="1"/>
  <c r="L256" i="1"/>
  <c r="I33" i="3" s="1" a="1"/>
  <c r="I33" i="3" s="1"/>
  <c r="L257" i="1"/>
  <c r="I4" i="3" s="1" a="1"/>
  <c r="I4" i="3" s="1"/>
  <c r="L258" i="1"/>
  <c r="L259" i="1"/>
  <c r="L260" i="1"/>
  <c r="I24" i="3" s="1" a="1"/>
  <c r="I24" i="3" s="1"/>
  <c r="L261" i="1"/>
  <c r="L262" i="1"/>
  <c r="L263" i="1"/>
  <c r="L264" i="1"/>
  <c r="I35" i="3" s="1" a="1"/>
  <c r="I35" i="3" s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I22" i="4" s="1" a="1"/>
  <c r="I22" i="4" s="1"/>
  <c r="L2" i="1"/>
  <c r="J17" i="7" l="1" a="1"/>
  <c r="J17" i="7" s="1"/>
  <c r="J32" i="7" a="1"/>
  <c r="J32" i="7" s="1"/>
  <c r="J22" i="5" a="1"/>
  <c r="J22" i="5" s="1"/>
  <c r="I24" i="4" a="1"/>
  <c r="I24" i="4" s="1"/>
  <c r="I7" i="4" a="1"/>
  <c r="I7" i="4" s="1"/>
  <c r="J10" i="3" a="1"/>
  <c r="J10" i="3" s="1"/>
  <c r="I30" i="4" a="1"/>
  <c r="I30" i="4" s="1"/>
  <c r="I28" i="4" a="1"/>
  <c r="I28" i="4" s="1"/>
  <c r="I32" i="4" a="1"/>
  <c r="I32" i="4" s="1"/>
  <c r="J17" i="5" a="1"/>
  <c r="J17" i="5" s="1"/>
  <c r="J35" i="3" a="1"/>
  <c r="J35" i="3" s="1"/>
  <c r="I13" i="5" a="1"/>
  <c r="I13" i="5" s="1"/>
  <c r="J18" i="5" a="1"/>
  <c r="J18" i="5" s="1"/>
  <c r="I10" i="5" a="1"/>
  <c r="I10" i="5" s="1"/>
  <c r="I19" i="4" a="1"/>
  <c r="I19" i="4" s="1"/>
  <c r="I4" i="4" a="1"/>
  <c r="I4" i="4" s="1"/>
  <c r="J9" i="3" a="1"/>
  <c r="J9" i="3" s="1"/>
  <c r="J7" i="3" a="1"/>
  <c r="J7" i="3" s="1"/>
  <c r="I17" i="4" a="1"/>
  <c r="I17" i="4" s="1"/>
  <c r="J5" i="5" a="1"/>
  <c r="J5" i="5" s="1"/>
  <c r="J34" i="3" a="1"/>
  <c r="J34" i="3" s="1"/>
  <c r="J20" i="3" a="1"/>
  <c r="J20" i="3" s="1"/>
  <c r="J27" i="3" a="1"/>
  <c r="J27" i="3" s="1"/>
  <c r="I18" i="4" a="1"/>
  <c r="I18" i="4" s="1"/>
  <c r="I10" i="4" a="1"/>
  <c r="I10" i="4" s="1"/>
  <c r="I28" i="5" a="1"/>
  <c r="I28" i="5" s="1"/>
  <c r="J33" i="5" a="1"/>
  <c r="J33" i="5" s="1"/>
  <c r="J29" i="5" a="1"/>
  <c r="J29" i="5" s="1"/>
  <c r="I22" i="3" a="1"/>
  <c r="I22" i="3" s="1"/>
  <c r="I18" i="3" a="1"/>
  <c r="I18" i="3" s="1"/>
  <c r="I5" i="4" a="1"/>
  <c r="I5" i="4" s="1"/>
  <c r="I31" i="4" a="1"/>
  <c r="I31" i="4" s="1"/>
  <c r="I9" i="4" a="1"/>
  <c r="I9" i="4" s="1"/>
  <c r="J27" i="5" a="1"/>
  <c r="J27" i="5" s="1"/>
  <c r="I35" i="4" a="1"/>
  <c r="I35" i="4" s="1"/>
  <c r="J32" i="5" a="1"/>
  <c r="J32" i="5" s="1"/>
  <c r="J34" i="4" a="1"/>
  <c r="J34" i="4" s="1"/>
  <c r="J19" i="3" a="1"/>
  <c r="J19" i="3" s="1"/>
  <c r="J20" i="5" a="1"/>
  <c r="J20" i="5" s="1"/>
  <c r="I27" i="4" a="1"/>
  <c r="I27" i="4" s="1"/>
  <c r="J29" i="3" a="1"/>
  <c r="J29" i="3" s="1"/>
  <c r="J31" i="5" a="1"/>
  <c r="J31" i="5" s="1"/>
  <c r="I24" i="5" a="1"/>
  <c r="I24" i="5" s="1"/>
  <c r="J26" i="5" a="1"/>
  <c r="J26" i="5" s="1"/>
  <c r="J34" i="5" a="1"/>
  <c r="J34" i="5" s="1"/>
  <c r="I13" i="4" a="1"/>
  <c r="I13" i="4" s="1"/>
  <c r="J19" i="5" a="1"/>
  <c r="J19" i="5" s="1"/>
  <c r="J28" i="5" a="1"/>
  <c r="J28" i="5" s="1"/>
  <c r="J28" i="7" a="1"/>
  <c r="J28" i="7" s="1"/>
  <c r="J40" i="7" a="1"/>
  <c r="J40" i="7" s="1"/>
  <c r="J37" i="7" a="1"/>
  <c r="J37" i="7" s="1"/>
  <c r="J9" i="7" a="1"/>
  <c r="J9" i="7" s="1"/>
  <c r="I19" i="7" a="1"/>
  <c r="I19" i="7" s="1"/>
  <c r="I28" i="7" a="1"/>
  <c r="I28" i="7" s="1"/>
  <c r="J26" i="7" a="1"/>
  <c r="J26" i="7" s="1"/>
  <c r="J7" i="7" a="1"/>
  <c r="J7" i="7" s="1"/>
  <c r="J17" i="6" a="1"/>
  <c r="J17" i="6" s="1"/>
  <c r="J5" i="6" a="1"/>
  <c r="J5" i="6" s="1"/>
  <c r="J33" i="6" a="1"/>
  <c r="J33" i="6" s="1"/>
  <c r="J22" i="7" a="1"/>
  <c r="J22" i="7" s="1"/>
  <c r="I37" i="7" a="1"/>
  <c r="I37" i="7" s="1"/>
  <c r="I9" i="7" a="1"/>
  <c r="I9" i="7" s="1"/>
  <c r="J20" i="7" a="1"/>
  <c r="J20" i="7" s="1"/>
  <c r="J14" i="6" a="1"/>
  <c r="J14" i="6" s="1"/>
  <c r="I24" i="7" a="1"/>
  <c r="I24" i="7" s="1"/>
  <c r="J38" i="7" a="1"/>
  <c r="J38" i="7" s="1"/>
  <c r="I35" i="6" a="1"/>
  <c r="I35" i="6" s="1"/>
  <c r="D11" i="7" a="1"/>
  <c r="D11" i="7" s="1"/>
  <c r="I31" i="7" a="1"/>
  <c r="I31" i="7" s="1"/>
  <c r="I40" i="7" a="1"/>
  <c r="I40" i="7" s="1"/>
  <c r="I38" i="6" a="1"/>
  <c r="I38" i="6" s="1"/>
  <c r="D26" i="7" a="1"/>
  <c r="D26" i="7" s="1"/>
  <c r="I17" i="6" a="1"/>
  <c r="I17" i="6" s="1"/>
  <c r="G4" i="6" a="1"/>
  <c r="G4" i="6" s="1"/>
  <c r="D17" i="7" a="1"/>
  <c r="D17" i="7" s="1"/>
  <c r="C25" i="7" a="1"/>
  <c r="C25" i="7" s="1"/>
  <c r="I39" i="6" a="1"/>
  <c r="I39" i="6" s="1"/>
  <c r="F4" i="7" a="1"/>
  <c r="F4" i="7" s="1"/>
  <c r="F14" i="7" a="1"/>
  <c r="F14" i="7" s="1"/>
  <c r="I7" i="7" a="1"/>
  <c r="I7" i="7" s="1"/>
  <c r="I5" i="6" a="1"/>
  <c r="I5" i="6" s="1"/>
  <c r="F12" i="7" a="1"/>
  <c r="F12" i="7" s="1"/>
  <c r="D9" i="7" a="1"/>
  <c r="D9" i="7" s="1"/>
  <c r="C17" i="7" a="1"/>
  <c r="C17" i="7" s="1"/>
  <c r="I4" i="7" a="1"/>
  <c r="I4" i="7" s="1"/>
  <c r="G24" i="7" a="1"/>
  <c r="G24" i="7" s="1"/>
  <c r="G11" i="7" a="1"/>
  <c r="G11" i="7" s="1"/>
  <c r="F10" i="7" a="1"/>
  <c r="F10" i="7" s="1"/>
  <c r="F7" i="7" a="1"/>
  <c r="F7" i="7" s="1"/>
  <c r="D22" i="7" a="1"/>
  <c r="D22" i="7" s="1"/>
  <c r="D14" i="7" a="1"/>
  <c r="D14" i="7" s="1"/>
  <c r="D6" i="7" a="1"/>
  <c r="D6" i="7" s="1"/>
  <c r="C22" i="7" a="1"/>
  <c r="C22" i="7" s="1"/>
  <c r="C14" i="7" a="1"/>
  <c r="C14" i="7" s="1"/>
  <c r="C5" i="7" a="1"/>
  <c r="C5" i="7" s="1"/>
  <c r="I13" i="7" a="1"/>
  <c r="I13" i="7" s="1"/>
  <c r="I34" i="7" a="1"/>
  <c r="I34" i="7" s="1"/>
  <c r="J13" i="6" a="1"/>
  <c r="J13" i="6" s="1"/>
  <c r="J24" i="6" a="1"/>
  <c r="J24" i="6" s="1"/>
  <c r="J20" i="6" a="1"/>
  <c r="J20" i="6" s="1"/>
  <c r="J30" i="6" a="1"/>
  <c r="J30" i="6" s="1"/>
  <c r="J27" i="6" a="1"/>
  <c r="J27" i="6" s="1"/>
  <c r="J39" i="7" a="1"/>
  <c r="J39" i="7" s="1"/>
  <c r="J31" i="7" a="1"/>
  <c r="J31" i="7" s="1"/>
  <c r="G6" i="7" a="1"/>
  <c r="G6" i="7" s="1"/>
  <c r="C19" i="7" a="1"/>
  <c r="C19" i="7" s="1"/>
  <c r="G27" i="7" a="1"/>
  <c r="G27" i="7" s="1"/>
  <c r="I22" i="6" a="1"/>
  <c r="I22" i="6" s="1"/>
  <c r="G4" i="7" a="1"/>
  <c r="G4" i="7" s="1"/>
  <c r="D25" i="7" a="1"/>
  <c r="D25" i="7" s="1"/>
  <c r="D10" i="6" a="1"/>
  <c r="D10" i="6" s="1"/>
  <c r="C17" i="6" a="1"/>
  <c r="C17" i="6" s="1"/>
  <c r="F26" i="6" a="1"/>
  <c r="F26" i="6" s="1"/>
  <c r="D21" i="7" a="1"/>
  <c r="D21" i="7" s="1"/>
  <c r="D13" i="7" a="1"/>
  <c r="D13" i="7" s="1"/>
  <c r="D5" i="7" a="1"/>
  <c r="D5" i="7" s="1"/>
  <c r="C21" i="7" a="1"/>
  <c r="C21" i="7" s="1"/>
  <c r="C13" i="7" a="1"/>
  <c r="C13" i="7" s="1"/>
  <c r="C4" i="7" a="1"/>
  <c r="C4" i="7" s="1"/>
  <c r="I10" i="7" a="1"/>
  <c r="I10" i="7" s="1"/>
  <c r="I33" i="7" a="1"/>
  <c r="I33" i="7" s="1"/>
  <c r="I14" i="7" a="1"/>
  <c r="I14" i="7" s="1"/>
  <c r="F20" i="7" a="1"/>
  <c r="F20" i="7" s="1"/>
  <c r="G26" i="7" a="1"/>
  <c r="G26" i="7" s="1"/>
  <c r="C26" i="7" a="1"/>
  <c r="C26" i="7" s="1"/>
  <c r="C18" i="7" a="1"/>
  <c r="C18" i="7" s="1"/>
  <c r="C9" i="7" a="1"/>
  <c r="C9" i="7" s="1"/>
  <c r="I38" i="7" a="1"/>
  <c r="I38" i="7" s="1"/>
  <c r="I22" i="7" a="1"/>
  <c r="I22" i="7" s="1"/>
  <c r="I17" i="7" a="1"/>
  <c r="I17" i="7" s="1"/>
  <c r="G17" i="7" a="1"/>
  <c r="G17" i="7" s="1"/>
  <c r="C10" i="7" a="1"/>
  <c r="C10" i="7" s="1"/>
  <c r="D18" i="7" a="1"/>
  <c r="D18" i="7" s="1"/>
  <c r="G20" i="6" a="1"/>
  <c r="G20" i="6" s="1"/>
  <c r="D26" i="6" a="1"/>
  <c r="D26" i="6" s="1"/>
  <c r="C8" i="7" a="1"/>
  <c r="C8" i="7" s="1"/>
  <c r="J34" i="6" a="1"/>
  <c r="J34" i="6" s="1"/>
  <c r="D19" i="7" a="1"/>
  <c r="D19" i="7" s="1"/>
  <c r="I26" i="7" a="1"/>
  <c r="I26" i="7" s="1"/>
  <c r="D10" i="7" a="1"/>
  <c r="D10" i="7" s="1"/>
  <c r="G20" i="7" a="1"/>
  <c r="G20" i="7" s="1"/>
  <c r="F12" i="6" a="1"/>
  <c r="F12" i="6" s="1"/>
  <c r="D18" i="6" a="1"/>
  <c r="D18" i="6" s="1"/>
  <c r="C25" i="6" a="1"/>
  <c r="C25" i="6" s="1"/>
  <c r="C9" i="6" a="1"/>
  <c r="C9" i="6" s="1"/>
  <c r="I5" i="7" a="1"/>
  <c r="I5" i="7" s="1"/>
  <c r="I29" i="6" a="1"/>
  <c r="I29" i="6" s="1"/>
  <c r="G14" i="7" a="1"/>
  <c r="G14" i="7" s="1"/>
  <c r="F24" i="7" a="1"/>
  <c r="F24" i="7" s="1"/>
  <c r="F11" i="7" a="1"/>
  <c r="F11" i="7" s="1"/>
  <c r="D24" i="7" a="1"/>
  <c r="D24" i="7" s="1"/>
  <c r="D16" i="7" a="1"/>
  <c r="D16" i="7" s="1"/>
  <c r="D8" i="7" a="1"/>
  <c r="D8" i="7" s="1"/>
  <c r="C24" i="7" a="1"/>
  <c r="C24" i="7" s="1"/>
  <c r="C16" i="7" a="1"/>
  <c r="C16" i="7" s="1"/>
  <c r="C7" i="7" a="1"/>
  <c r="C7" i="7" s="1"/>
  <c r="I23" i="7" a="1"/>
  <c r="I23" i="7" s="1"/>
  <c r="I36" i="7" a="1"/>
  <c r="I36" i="7" s="1"/>
  <c r="I29" i="7" a="1"/>
  <c r="I29" i="7" s="1"/>
  <c r="J31" i="6" a="1"/>
  <c r="J31" i="6" s="1"/>
  <c r="J7" i="6" a="1"/>
  <c r="J7" i="6" s="1"/>
  <c r="J26" i="6" a="1"/>
  <c r="J26" i="6" s="1"/>
  <c r="I10" i="6" a="1"/>
  <c r="I10" i="6" s="1"/>
  <c r="I31" i="6" a="1"/>
  <c r="I31" i="6" s="1"/>
  <c r="I14" i="6" a="1"/>
  <c r="I14" i="6" s="1"/>
  <c r="G10" i="6" a="1"/>
  <c r="G10" i="6" s="1"/>
  <c r="F27" i="6" a="1"/>
  <c r="F27" i="6" s="1"/>
  <c r="D21" i="6" a="1"/>
  <c r="D21" i="6" s="1"/>
  <c r="D13" i="6" a="1"/>
  <c r="D13" i="6" s="1"/>
  <c r="D5" i="6" a="1"/>
  <c r="D5" i="6" s="1"/>
  <c r="C20" i="6" a="1"/>
  <c r="C20" i="6" s="1"/>
  <c r="C12" i="6" a="1"/>
  <c r="C12" i="6" s="1"/>
  <c r="J22" i="4" a="1"/>
  <c r="J22" i="4" s="1"/>
  <c r="I20" i="3" a="1"/>
  <c r="I20" i="3" s="1"/>
  <c r="J32" i="4" a="1"/>
  <c r="J32" i="4" s="1"/>
  <c r="J17" i="3" a="1"/>
  <c r="J17" i="3" s="1"/>
  <c r="I5" i="5" a="1"/>
  <c r="I5" i="5" s="1"/>
  <c r="I9" i="5" a="1"/>
  <c r="I9" i="5" s="1"/>
  <c r="J18" i="4" a="1"/>
  <c r="J18" i="4" s="1"/>
  <c r="I26" i="4" a="1"/>
  <c r="I26" i="4" s="1"/>
  <c r="I34" i="3" a="1"/>
  <c r="I34" i="3" s="1"/>
  <c r="I34" i="4" a="1"/>
  <c r="I34" i="4" s="1"/>
  <c r="I20" i="4" a="1"/>
  <c r="I20" i="4" s="1"/>
  <c r="I28" i="3" a="1"/>
  <c r="I28" i="3" s="1"/>
  <c r="J17" i="4" a="1"/>
  <c r="J17" i="4" s="1"/>
  <c r="J5" i="3" a="1"/>
  <c r="J5" i="3" s="1"/>
  <c r="J31" i="3" a="1"/>
  <c r="J31" i="3" s="1"/>
  <c r="I26" i="5" a="1"/>
  <c r="I26" i="5" s="1"/>
  <c r="I7" i="5" a="1"/>
  <c r="I7" i="5" s="1"/>
  <c r="J31" i="4" a="1"/>
  <c r="J31" i="4" s="1"/>
  <c r="J9" i="4" a="1"/>
  <c r="J9" i="4" s="1"/>
  <c r="J26" i="3" a="1"/>
  <c r="J26" i="3" s="1"/>
  <c r="I34" i="5" a="1"/>
  <c r="I34" i="5" s="1"/>
  <c r="I20" i="5" a="1"/>
  <c r="I20" i="5" s="1"/>
  <c r="I27" i="5" a="1"/>
  <c r="I27" i="5" s="1"/>
  <c r="J7" i="5" a="1"/>
  <c r="J7" i="5" s="1"/>
  <c r="J9" i="5" a="1"/>
  <c r="J9" i="5" s="1"/>
  <c r="J26" i="4" a="1"/>
  <c r="J26" i="4" s="1"/>
  <c r="I33" i="4" a="1"/>
  <c r="I33" i="4" s="1"/>
  <c r="I29" i="4" a="1"/>
  <c r="I29" i="4" s="1"/>
  <c r="I13" i="3" a="1"/>
  <c r="I13" i="3" s="1"/>
  <c r="J20" i="4" a="1"/>
  <c r="J20" i="4" s="1"/>
  <c r="J27" i="4" a="1"/>
  <c r="J27" i="4" s="1"/>
  <c r="I4" i="5" a="1"/>
  <c r="I4" i="5" s="1"/>
  <c r="J5" i="4" a="1"/>
  <c r="J5" i="4" s="1"/>
  <c r="J14" i="4" a="1"/>
  <c r="J14" i="4" s="1"/>
  <c r="I29" i="5" a="1"/>
  <c r="I29" i="5" s="1"/>
  <c r="J14" i="3" a="1"/>
  <c r="J14" i="3" s="1"/>
  <c r="J24" i="4" a="1"/>
  <c r="J24" i="4" s="1"/>
  <c r="J33" i="4" a="1"/>
  <c r="J33" i="4" s="1"/>
  <c r="I5" i="3" a="1"/>
  <c r="I5" i="3" s="1"/>
  <c r="I9" i="3" a="1"/>
  <c r="I9" i="3" s="1"/>
  <c r="J33" i="3" a="1"/>
  <c r="J33" i="3" s="1"/>
  <c r="I22" i="5" a="1"/>
  <c r="I22" i="5" s="1"/>
  <c r="J10" i="5" a="1"/>
  <c r="J10" i="5" s="1"/>
  <c r="I24" i="6" a="1"/>
  <c r="I24" i="6" s="1"/>
  <c r="F10" i="6" a="1"/>
  <c r="F10" i="6" s="1"/>
  <c r="J32" i="6" a="1"/>
  <c r="J32" i="6" s="1"/>
  <c r="G17" i="6" a="1"/>
  <c r="G17" i="6" s="1"/>
  <c r="D20" i="6" a="1"/>
  <c r="D20" i="6" s="1"/>
  <c r="C19" i="6" a="1"/>
  <c r="C19" i="6" s="1"/>
  <c r="I9" i="6" a="1"/>
  <c r="I9" i="6" s="1"/>
  <c r="G6" i="6" a="1"/>
  <c r="G6" i="6" s="1"/>
  <c r="F20" i="6" a="1"/>
  <c r="F20" i="6" s="1"/>
  <c r="D12" i="6" a="1"/>
  <c r="D12" i="6" s="1"/>
  <c r="C11" i="6" a="1"/>
  <c r="C11" i="6" s="1"/>
  <c r="D4" i="6" a="1"/>
  <c r="D4" i="6" s="1"/>
  <c r="I20" i="6" a="1"/>
  <c r="I20" i="6" s="1"/>
  <c r="I27" i="6" a="1"/>
  <c r="I27" i="6" s="1"/>
  <c r="G14" i="6" a="1"/>
  <c r="G14" i="6" s="1"/>
  <c r="F24" i="6" a="1"/>
  <c r="F24" i="6" s="1"/>
  <c r="F11" i="6" a="1"/>
  <c r="F11" i="6" s="1"/>
  <c r="D25" i="6" a="1"/>
  <c r="D25" i="6" s="1"/>
  <c r="D17" i="6" a="1"/>
  <c r="D17" i="6" s="1"/>
  <c r="D9" i="6" a="1"/>
  <c r="D9" i="6" s="1"/>
  <c r="C24" i="6" a="1"/>
  <c r="C24" i="6" s="1"/>
  <c r="C16" i="6" a="1"/>
  <c r="C16" i="6" s="1"/>
  <c r="C8" i="6" a="1"/>
  <c r="C8" i="6" s="1"/>
  <c r="I37" i="6" a="1"/>
  <c r="I37" i="6" s="1"/>
  <c r="G24" i="6" a="1"/>
  <c r="G24" i="6" s="1"/>
  <c r="F7" i="6" a="1"/>
  <c r="F7" i="6" s="1"/>
  <c r="D23" i="6" a="1"/>
  <c r="D23" i="6" s="1"/>
  <c r="D15" i="6" a="1"/>
  <c r="D15" i="6" s="1"/>
  <c r="D7" i="6" a="1"/>
  <c r="D7" i="6" s="1"/>
  <c r="C22" i="6" a="1"/>
  <c r="C22" i="6" s="1"/>
  <c r="C14" i="6" a="1"/>
  <c r="C14" i="6" s="1"/>
  <c r="C6" i="6" a="1"/>
  <c r="C6" i="6" s="1"/>
  <c r="I7" i="6" a="1"/>
  <c r="I7" i="6" s="1"/>
  <c r="G27" i="6" a="1"/>
  <c r="G27" i="6" s="1"/>
  <c r="D19" i="6" a="1"/>
  <c r="D19" i="6" s="1"/>
  <c r="D11" i="6" a="1"/>
  <c r="D11" i="6" s="1"/>
  <c r="C26" i="6" a="1"/>
  <c r="C26" i="6" s="1"/>
  <c r="C18" i="6" a="1"/>
  <c r="C18" i="6" s="1"/>
  <c r="C10" i="6" a="1"/>
  <c r="C10" i="6" s="1"/>
  <c r="F4" i="6" a="1"/>
  <c r="F4" i="6" s="1"/>
  <c r="F14" i="6" a="1"/>
  <c r="F14" i="6" s="1"/>
  <c r="J9" i="6" a="1"/>
  <c r="J9" i="6" s="1"/>
  <c r="D6" i="6" a="1"/>
  <c r="D6" i="6" s="1"/>
  <c r="I26" i="6" a="1"/>
  <c r="I26" i="6" s="1"/>
  <c r="I34" i="6" a="1"/>
  <c r="I34" i="6" s="1"/>
  <c r="I28" i="6" a="1"/>
  <c r="I28" i="6" s="1"/>
  <c r="I4" i="6" a="1"/>
  <c r="I4" i="6" s="1"/>
  <c r="G12" i="6" a="1"/>
  <c r="G12" i="6" s="1"/>
  <c r="F13" i="6" a="1"/>
  <c r="F13" i="6" s="1"/>
  <c r="F9" i="6" a="1"/>
  <c r="F9" i="6" s="1"/>
  <c r="D24" i="6" a="1"/>
  <c r="D24" i="6" s="1"/>
  <c r="D16" i="6" a="1"/>
  <c r="D16" i="6" s="1"/>
  <c r="D8" i="6" a="1"/>
  <c r="D8" i="6" s="1"/>
  <c r="C23" i="6" a="1"/>
  <c r="C23" i="6" s="1"/>
  <c r="C15" i="6" a="1"/>
  <c r="C15" i="6" s="1"/>
  <c r="C7" i="6" a="1"/>
  <c r="C7" i="6" s="1"/>
  <c r="I36" i="6" a="1"/>
  <c r="I36" i="6" s="1"/>
  <c r="I33" i="6" a="1"/>
  <c r="I33" i="6" s="1"/>
  <c r="I30" i="6" a="1"/>
  <c r="I30" i="6" s="1"/>
  <c r="G26" i="6" a="1"/>
  <c r="G26" i="6" s="1"/>
  <c r="C21" i="6" a="1"/>
  <c r="C21" i="6" s="1"/>
  <c r="I13" i="6" a="1"/>
  <c r="I13" i="6" s="1"/>
  <c r="I32" i="6" a="1"/>
  <c r="I32" i="6" s="1"/>
  <c r="G13" i="6" a="1"/>
  <c r="G13" i="6" s="1"/>
  <c r="G9" i="6" a="1"/>
  <c r="G9" i="6" s="1"/>
  <c r="F17" i="6" a="1"/>
  <c r="F17" i="6" s="1"/>
  <c r="F6" i="6" a="1"/>
  <c r="F6" i="6" s="1"/>
  <c r="D22" i="6" a="1"/>
  <c r="D22" i="6" s="1"/>
  <c r="D14" i="6" a="1"/>
  <c r="D14" i="6" s="1"/>
  <c r="C13" i="6" a="1"/>
  <c r="C13" i="6" s="1"/>
  <c r="C5" i="6" a="1"/>
  <c r="C5" i="6" s="1"/>
  <c r="I23" i="6" a="1"/>
  <c r="I23" i="6" s="1"/>
  <c r="G11" i="6" a="1"/>
  <c r="G11" i="6" s="1"/>
  <c r="G7" i="6" a="1"/>
  <c r="G7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<sst xmlns="http://schemas.openxmlformats.org/spreadsheetml/2006/main" count="3085" uniqueCount="169">
  <si>
    <t>...1</t>
  </si>
  <si>
    <t>Variable</t>
  </si>
  <si>
    <t>Beta</t>
  </si>
  <si>
    <t>CI_Lower</t>
  </si>
  <si>
    <t>CI_Upper</t>
  </si>
  <si>
    <t>AIC</t>
  </si>
  <si>
    <t>BIC</t>
  </si>
  <si>
    <t>dose</t>
  </si>
  <si>
    <t>model</t>
  </si>
  <si>
    <t>effects</t>
  </si>
  <si>
    <t>(Intercept)</t>
  </si>
  <si>
    <t>First</t>
  </si>
  <si>
    <t>Simple</t>
  </si>
  <si>
    <t>Fixed</t>
  </si>
  <si>
    <t>Pop_per_km2</t>
  </si>
  <si>
    <t>prop_travelling_to_work</t>
  </si>
  <si>
    <t>prop_not_in_work</t>
  </si>
  <si>
    <t>prop_all_other_white</t>
  </si>
  <si>
    <t>prop_mixed_multiple</t>
  </si>
  <si>
    <t>prop_asian</t>
  </si>
  <si>
    <t>prop_black_afr_car</t>
  </si>
  <si>
    <t>prop_other</t>
  </si>
  <si>
    <t>IMD_Average_score</t>
  </si>
  <si>
    <t>prop_o65</t>
  </si>
  <si>
    <t>prop_u25</t>
  </si>
  <si>
    <t>Median_annual_income</t>
  </si>
  <si>
    <t>Other_proportion</t>
  </si>
  <si>
    <t>unringfenced_percapita</t>
  </si>
  <si>
    <t>ASC_infection_control_fund_percapita</t>
  </si>
  <si>
    <t>contain_outbreak_management_percapita</t>
  </si>
  <si>
    <t>Income_score</t>
  </si>
  <si>
    <t>Employment_score</t>
  </si>
  <si>
    <t>Education_Skills_and_Training_score</t>
  </si>
  <si>
    <t>Health_Deprivation_and_Disability_score</t>
  </si>
  <si>
    <t>Crime_score</t>
  </si>
  <si>
    <t>Barriers_to_Housing_and_Services_score</t>
  </si>
  <si>
    <t>Living_Environment_score</t>
  </si>
  <si>
    <t>(Intercept)1</t>
  </si>
  <si>
    <t>Second</t>
  </si>
  <si>
    <t>Pop_per_km21</t>
  </si>
  <si>
    <t>prop_travelling_to_work1</t>
  </si>
  <si>
    <t>prop_not_in_work1</t>
  </si>
  <si>
    <t>prop_all_other_white1</t>
  </si>
  <si>
    <t>prop_mixed_multiple1</t>
  </si>
  <si>
    <t>prop_asian1</t>
  </si>
  <si>
    <t>prop_black_afr_car1</t>
  </si>
  <si>
    <t>prop_other1</t>
  </si>
  <si>
    <t>IMD_Average_score1</t>
  </si>
  <si>
    <t>prop_o651</t>
  </si>
  <si>
    <t>prop_u251</t>
  </si>
  <si>
    <t>Median_annual_income1</t>
  </si>
  <si>
    <t>Other_proportion1</t>
  </si>
  <si>
    <t>unringfenced_percapita1</t>
  </si>
  <si>
    <t>ASC_infection_control_fund_percapita1</t>
  </si>
  <si>
    <t>contain_outbreak_management_percapita1</t>
  </si>
  <si>
    <t>Income_score1</t>
  </si>
  <si>
    <t>Employment_score1</t>
  </si>
  <si>
    <t>Education_Skills_and_Training_score1</t>
  </si>
  <si>
    <t>Health_Deprivation_and_Disability_score1</t>
  </si>
  <si>
    <t>Crime_score1</t>
  </si>
  <si>
    <t>Barriers_to_Housing_and_Services_score1</t>
  </si>
  <si>
    <t>Living_Environment_score1</t>
  </si>
  <si>
    <t>(Intercept)2</t>
  </si>
  <si>
    <t>Third</t>
  </si>
  <si>
    <t>Pop_per_km22</t>
  </si>
  <si>
    <t>prop_travelling_to_work2</t>
  </si>
  <si>
    <t>prop_not_in_work2</t>
  </si>
  <si>
    <t>prop_all_other_white2</t>
  </si>
  <si>
    <t>prop_mixed_multiple2</t>
  </si>
  <si>
    <t>prop_asian2</t>
  </si>
  <si>
    <t>prop_black_afr_car2</t>
  </si>
  <si>
    <t>prop_other2</t>
  </si>
  <si>
    <t>IMD_Average_score2</t>
  </si>
  <si>
    <t>prop_o652</t>
  </si>
  <si>
    <t>prop_u252</t>
  </si>
  <si>
    <t>Median_annual_income2</t>
  </si>
  <si>
    <t>Other_proportion2</t>
  </si>
  <si>
    <t>unringfenced_percapita2</t>
  </si>
  <si>
    <t>ASC_infection_control_fund_percapita2</t>
  </si>
  <si>
    <t>contain_outbreak_management_percapita2</t>
  </si>
  <si>
    <t>Income_score2</t>
  </si>
  <si>
    <t>Employment_score2</t>
  </si>
  <si>
    <t>Education_Skills_and_Training_score2</t>
  </si>
  <si>
    <t>Health_Deprivation_and_Disability_score2</t>
  </si>
  <si>
    <t>Crime_score2</t>
  </si>
  <si>
    <t>Barriers_to_Housing_and_Services_score2</t>
  </si>
  <si>
    <t>Living_Environment_score2</t>
  </si>
  <si>
    <t>Random</t>
  </si>
  <si>
    <t>Lasso</t>
  </si>
  <si>
    <t>Median_age</t>
  </si>
  <si>
    <t>mean_popden</t>
  </si>
  <si>
    <t>Median_age1</t>
  </si>
  <si>
    <t>mean_popden1</t>
  </si>
  <si>
    <t>Median_age2</t>
  </si>
  <si>
    <t>mean_popden2</t>
  </si>
  <si>
    <t>Stepwise</t>
  </si>
  <si>
    <t>Population</t>
  </si>
  <si>
    <t>no_jobs</t>
  </si>
  <si>
    <t>DWP_winter_grant_percapita</t>
  </si>
  <si>
    <t>DWP_winter_grant_percapita1</t>
  </si>
  <si>
    <t>Population1</t>
  </si>
  <si>
    <t>no_jobs1</t>
  </si>
  <si>
    <t>First vs Second</t>
  </si>
  <si>
    <t>Second vs Third</t>
  </si>
  <si>
    <t>Stability Lasso</t>
  </si>
  <si>
    <t>residential_percent_change_from_baseline</t>
  </si>
  <si>
    <t>Specialised_services</t>
  </si>
  <si>
    <t>ASC_rapid_testing</t>
  </si>
  <si>
    <t>sales_compensation</t>
  </si>
  <si>
    <t>fire_contingency</t>
  </si>
  <si>
    <t>protect_and_vaccinate</t>
  </si>
  <si>
    <t>residential_percent_change_from_baseline1</t>
  </si>
  <si>
    <t>Beta [CI}</t>
  </si>
  <si>
    <t>Population per km2</t>
  </si>
  <si>
    <t>Proportion Travelling To Work</t>
  </si>
  <si>
    <t>Proportion Not In Work</t>
  </si>
  <si>
    <t>Proportion All Other White</t>
  </si>
  <si>
    <t>Proportion Asian</t>
  </si>
  <si>
    <t>Proportion Mixed</t>
  </si>
  <si>
    <t>Proportion Other Ethnicity</t>
  </si>
  <si>
    <t>IMD Average Score</t>
  </si>
  <si>
    <t>Proportion Over 65</t>
  </si>
  <si>
    <t>Proportion Under 25</t>
  </si>
  <si>
    <t>Median Annual Income</t>
  </si>
  <si>
    <t>Unringfenced Fund Per Capita</t>
  </si>
  <si>
    <t>ASC Fund Per Capita</t>
  </si>
  <si>
    <t>COMF Per Capita</t>
  </si>
  <si>
    <t>Income Score (IMD Domain)</t>
  </si>
  <si>
    <t>Employment Score (IMD Domain)</t>
  </si>
  <si>
    <t>Education Skills &amp; Training Score (IMD Domain)</t>
  </si>
  <si>
    <t>Health Deprivation &amp; Disability Score (IMD Domain)</t>
  </si>
  <si>
    <t>Crime Score (IMD Domain)</t>
  </si>
  <si>
    <t>Barriers to Housing &amp; Services Score (IMD Domain)</t>
  </si>
  <si>
    <t>Living Environment Score (IMD Domain)</t>
  </si>
  <si>
    <t>Median Age</t>
  </si>
  <si>
    <t>Mean Population Density</t>
  </si>
  <si>
    <t>DWP Winter Grant Per Capita</t>
  </si>
  <si>
    <t>Proportion Black / African / Caribbean</t>
  </si>
  <si>
    <t>Beta[CI]</t>
  </si>
  <si>
    <t>Residential % Change From Baseline</t>
  </si>
  <si>
    <t>Protect &amp; Vaccinate</t>
  </si>
  <si>
    <t>Fire Contingency</t>
  </si>
  <si>
    <t>ASC Rapid Testing</t>
  </si>
  <si>
    <t>Specialised Services</t>
  </si>
  <si>
    <t>Sales Compensation</t>
  </si>
  <si>
    <t>omicron_support_fund_percapita</t>
  </si>
  <si>
    <t>omicron_support_fund_percapita1</t>
  </si>
  <si>
    <t>fire_contingency1</t>
  </si>
  <si>
    <t>ASC_rapid_testing1</t>
  </si>
  <si>
    <t>no_jobs2</t>
  </si>
  <si>
    <t>omicron_support_fund_percapita2</t>
  </si>
  <si>
    <t>Population2</t>
  </si>
  <si>
    <t>DWP_winter_grant_percapita2</t>
  </si>
  <si>
    <t>fire_contingency2</t>
  </si>
  <si>
    <t>residential_percent_change_from_baseline2</t>
  </si>
  <si>
    <t>Omicron Support Fund Per Capita</t>
  </si>
  <si>
    <t>ASC_workforce_capacity</t>
  </si>
  <si>
    <t>Core_services_funding_percapita</t>
  </si>
  <si>
    <t>Primary_care_funding_percapita</t>
  </si>
  <si>
    <t>Specialised_services1</t>
  </si>
  <si>
    <t>ASC_workforce_capacity1</t>
  </si>
  <si>
    <t>sales_compensation1</t>
  </si>
  <si>
    <t>protect_and_vaccinate1</t>
  </si>
  <si>
    <t>ASC Workforce Capacity</t>
  </si>
  <si>
    <t xml:space="preserve">ASC Rapid Testing </t>
  </si>
  <si>
    <t>DWP Winter Grand Per Capita</t>
  </si>
  <si>
    <t>Core Services Funding Per Capita</t>
  </si>
  <si>
    <t>Primary Care Funding Per Capita</t>
  </si>
  <si>
    <t>Estimated Job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</si>
</sst>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0" xfId="0" applyFont="1" applyFill="1"/>
    <xf numFmtId="2" fontId="0" fillId="0" borderId="0" xfId="0" applyNumberFormat="1"/>
    <xf numFmtId="164" fontId="0" fillId="0" borderId="0" xfId="0" applyNumberFormat="1"/>
    <xf numFmtId="0" fontId="2" fillId="2" borderId="0" xfId="0" applyFont="1" applyFill="1"/>
    <xf numFmtId="0" fontId="1" fillId="0" borderId="0" xfId="0" applyFont="1"/>
    <xf numFmtId="0" fontId="3" fillId="2" borderId="0" xfId="0" applyFont="1" applyFill="1"/>
    <xf numFmtId="0" fontId="4" fillId="0" borderId="0" xfId="0" applyFont="1"/>
    <xf numFmtId="49" fontId="4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161E-34DB-4824-8E20-D9C4AE2B97A9}">
  <sheetPr>
    <tabColor theme="4"/>
  </sheetPr>
  <dimension ref="A1:R379"/>
  <sheetViews>
    <sheetView workbookViewId="0">
      <selection sqref="A1:K352"/>
    </sheetView>
  </sheetViews>
  <sheetFormatPr defaultRowHeight="15" x14ac:dyDescent="0.25"/>
  <cols>
    <col min="12" max="12" width="16.5703125" style="1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112</v>
      </c>
    </row>
    <row r="2" spans="1:18" x14ac:dyDescent="0.25">
      <c r="A2">
        <v>1</v>
      </c>
      <c r="B2" t="s">
        <v>10</v>
      </c>
      <c r="C2" t="s">
        <v>10</v>
      </c>
      <c r="D2">
        <v>82.647133757930007</v>
      </c>
      <c r="E2">
        <v>82.471109814917398</v>
      </c>
      <c r="F2">
        <v>82.823157700942502</v>
      </c>
      <c r="G2">
        <v>1205.2911268345599</v>
      </c>
      <c r="H2">
        <v>1299.0259514822601</v>
      </c>
      <c r="I2" t="s">
        <v>11</v>
      </c>
      <c r="J2" t="s">
        <v>12</v>
      </c>
      <c r="K2" t="s">
        <v>13</v>
      </c>
      <c r="L2" s="4" t="str">
        <f>TEXT(ROUND(D2,2),"0.00") &amp; "[" &amp; TEXT(ROUND(E2,2),"0.00") &amp; "," &amp; TEXT(ROUND(F2,2),"0.00") &amp; "]"</f>
        <v>82.65[82.47,82.82]</v>
      </c>
    </row>
    <row r="3" spans="1:18" x14ac:dyDescent="0.25">
      <c r="A3">
        <v>2</v>
      </c>
      <c r="B3" t="s">
        <v>14</v>
      </c>
      <c r="C3" t="s">
        <v>14</v>
      </c>
      <c r="D3">
        <v>-4.9447362012616097E-2</v>
      </c>
      <c r="E3">
        <v>-0.50673387348762</v>
      </c>
      <c r="F3">
        <v>0.40783914946238797</v>
      </c>
      <c r="G3">
        <v>1205.2911268345599</v>
      </c>
      <c r="H3">
        <v>1299.0259514822601</v>
      </c>
      <c r="I3" t="s">
        <v>11</v>
      </c>
      <c r="J3" t="s">
        <v>12</v>
      </c>
      <c r="K3" t="s">
        <v>13</v>
      </c>
      <c r="L3" s="4" t="str">
        <f t="shared" ref="L3:L66" si="0">TEXT(ROUND(D3,2),"0.00") &amp; "[" &amp; TEXT(ROUND(E3,2),"0.00") &amp; "," &amp; TEXT(ROUND(F3,2),"0.00") &amp; "]"</f>
        <v>-0.05[-0.51,0.41]</v>
      </c>
      <c r="P3" t="str" cm="1">
        <f t="array" ref="P3:P35">_xlfn.UNIQUE(C2:C322)</f>
        <v>(Intercept)</v>
      </c>
      <c r="R3" t="s">
        <v>10</v>
      </c>
    </row>
    <row r="4" spans="1:18" x14ac:dyDescent="0.25">
      <c r="A4">
        <v>3</v>
      </c>
      <c r="B4" t="s">
        <v>15</v>
      </c>
      <c r="C4" t="s">
        <v>15</v>
      </c>
      <c r="D4">
        <v>-0.104428162670633</v>
      </c>
      <c r="E4">
        <v>-1.1357716923108001</v>
      </c>
      <c r="F4">
        <v>0.92691536696953003</v>
      </c>
      <c r="G4">
        <v>1205.2911268345599</v>
      </c>
      <c r="H4">
        <v>1299.0259514822601</v>
      </c>
      <c r="I4" t="s">
        <v>11</v>
      </c>
      <c r="J4" t="s">
        <v>12</v>
      </c>
      <c r="K4" t="s">
        <v>13</v>
      </c>
      <c r="L4" s="4" t="str">
        <f t="shared" si="0"/>
        <v>-0.10[-1.14,0.93]</v>
      </c>
      <c r="P4" t="str">
        <v>Pop_per_km2</v>
      </c>
      <c r="R4" t="s">
        <v>14</v>
      </c>
    </row>
    <row r="5" spans="1:18" x14ac:dyDescent="0.25">
      <c r="A5">
        <v>4</v>
      </c>
      <c r="B5" t="s">
        <v>16</v>
      </c>
      <c r="C5" t="s">
        <v>16</v>
      </c>
      <c r="D5">
        <v>-0.878958314993047</v>
      </c>
      <c r="E5">
        <v>-2.1462480165923199</v>
      </c>
      <c r="F5">
        <v>0.38833138660622302</v>
      </c>
      <c r="G5">
        <v>1205.2911268345599</v>
      </c>
      <c r="H5">
        <v>1299.0259514822601</v>
      </c>
      <c r="I5" t="s">
        <v>11</v>
      </c>
      <c r="J5" t="s">
        <v>12</v>
      </c>
      <c r="K5" t="s">
        <v>13</v>
      </c>
      <c r="L5" s="4" t="str">
        <f t="shared" si="0"/>
        <v>-0.88[-2.15,0.39]</v>
      </c>
      <c r="P5" t="str">
        <v>prop_travelling_to_work</v>
      </c>
      <c r="R5" t="s">
        <v>15</v>
      </c>
    </row>
    <row r="6" spans="1:18" x14ac:dyDescent="0.25">
      <c r="A6">
        <v>5</v>
      </c>
      <c r="B6" t="s">
        <v>17</v>
      </c>
      <c r="C6" t="s">
        <v>17</v>
      </c>
      <c r="D6">
        <v>-2.6274909698203501</v>
      </c>
      <c r="E6">
        <v>-2.9737798914812799</v>
      </c>
      <c r="F6">
        <v>-2.28120204815942</v>
      </c>
      <c r="G6">
        <v>1205.2911268345599</v>
      </c>
      <c r="H6">
        <v>1299.0259514822601</v>
      </c>
      <c r="I6" t="s">
        <v>11</v>
      </c>
      <c r="J6" t="s">
        <v>12</v>
      </c>
      <c r="K6" t="s">
        <v>13</v>
      </c>
      <c r="L6" s="4" t="str">
        <f t="shared" si="0"/>
        <v>-2.63[-2.97,-2.28]</v>
      </c>
      <c r="P6" t="str">
        <v>prop_not_in_work</v>
      </c>
      <c r="R6" t="s">
        <v>16</v>
      </c>
    </row>
    <row r="7" spans="1:18" x14ac:dyDescent="0.25">
      <c r="A7">
        <v>6</v>
      </c>
      <c r="B7" t="s">
        <v>18</v>
      </c>
      <c r="C7" t="s">
        <v>18</v>
      </c>
      <c r="D7">
        <v>-0.26134594215833501</v>
      </c>
      <c r="E7">
        <v>-0.56303847523407302</v>
      </c>
      <c r="F7">
        <v>4.0346590917403301E-2</v>
      </c>
      <c r="G7">
        <v>1205.2911268345599</v>
      </c>
      <c r="H7">
        <v>1299.0259514822601</v>
      </c>
      <c r="I7" t="s">
        <v>11</v>
      </c>
      <c r="J7" t="s">
        <v>12</v>
      </c>
      <c r="K7" t="s">
        <v>13</v>
      </c>
      <c r="L7" s="4" t="str">
        <f t="shared" si="0"/>
        <v>-0.26[-0.56,0.04]</v>
      </c>
      <c r="P7" t="str">
        <v>prop_all_other_white</v>
      </c>
      <c r="R7" t="s">
        <v>17</v>
      </c>
    </row>
    <row r="8" spans="1:18" x14ac:dyDescent="0.25">
      <c r="A8">
        <v>7</v>
      </c>
      <c r="B8" t="s">
        <v>19</v>
      </c>
      <c r="C8" t="s">
        <v>19</v>
      </c>
      <c r="D8">
        <v>-0.46335369408046401</v>
      </c>
      <c r="E8">
        <v>-0.75342428596775102</v>
      </c>
      <c r="F8">
        <v>-0.173283102193176</v>
      </c>
      <c r="G8">
        <v>1205.2911268345599</v>
      </c>
      <c r="H8">
        <v>1299.0259514822601</v>
      </c>
      <c r="I8" t="s">
        <v>11</v>
      </c>
      <c r="J8" t="s">
        <v>12</v>
      </c>
      <c r="K8" t="s">
        <v>13</v>
      </c>
      <c r="L8" s="4" t="str">
        <f t="shared" si="0"/>
        <v>-0.46[-0.75,-0.17]</v>
      </c>
      <c r="P8" t="str">
        <v>prop_mixed_multiple</v>
      </c>
      <c r="R8" t="s">
        <v>18</v>
      </c>
    </row>
    <row r="9" spans="1:18" x14ac:dyDescent="0.25">
      <c r="A9">
        <v>8</v>
      </c>
      <c r="B9" t="s">
        <v>20</v>
      </c>
      <c r="C9" t="s">
        <v>20</v>
      </c>
      <c r="D9">
        <v>-0.80371810091223805</v>
      </c>
      <c r="E9">
        <v>-1.22674651790928</v>
      </c>
      <c r="F9">
        <v>-0.38068968391519498</v>
      </c>
      <c r="G9">
        <v>1205.2911268345599</v>
      </c>
      <c r="H9">
        <v>1299.0259514822601</v>
      </c>
      <c r="I9" t="s">
        <v>11</v>
      </c>
      <c r="J9" t="s">
        <v>12</v>
      </c>
      <c r="K9" t="s">
        <v>13</v>
      </c>
      <c r="L9" s="4" t="str">
        <f t="shared" si="0"/>
        <v>-0.80[-1.23,-0.38]</v>
      </c>
      <c r="P9" t="str">
        <v>prop_asian</v>
      </c>
      <c r="R9" t="s">
        <v>19</v>
      </c>
    </row>
    <row r="10" spans="1:18" x14ac:dyDescent="0.25">
      <c r="A10">
        <v>9</v>
      </c>
      <c r="B10" t="s">
        <v>21</v>
      </c>
      <c r="C10" t="s">
        <v>21</v>
      </c>
      <c r="D10">
        <v>-1.0247210265319001E-2</v>
      </c>
      <c r="E10">
        <v>-0.41320277816477202</v>
      </c>
      <c r="F10">
        <v>0.39270835763413398</v>
      </c>
      <c r="G10">
        <v>1205.2911268345599</v>
      </c>
      <c r="H10">
        <v>1299.0259514822601</v>
      </c>
      <c r="I10" t="s">
        <v>11</v>
      </c>
      <c r="J10" t="s">
        <v>12</v>
      </c>
      <c r="K10" t="s">
        <v>13</v>
      </c>
      <c r="L10" s="4" t="str">
        <f t="shared" si="0"/>
        <v>-0.01[-0.41,0.39]</v>
      </c>
      <c r="P10" t="str">
        <v>prop_black_afr_car</v>
      </c>
      <c r="R10" t="s">
        <v>20</v>
      </c>
    </row>
    <row r="11" spans="1:18" x14ac:dyDescent="0.25">
      <c r="A11">
        <v>10</v>
      </c>
      <c r="B11" t="s">
        <v>22</v>
      </c>
      <c r="C11" t="s">
        <v>22</v>
      </c>
      <c r="D11">
        <v>0.252369974058684</v>
      </c>
      <c r="E11">
        <v>-1.1863090754094401</v>
      </c>
      <c r="F11">
        <v>1.6910490235268101</v>
      </c>
      <c r="G11">
        <v>1205.2911268345599</v>
      </c>
      <c r="H11">
        <v>1299.0259514822601</v>
      </c>
      <c r="I11" t="s">
        <v>11</v>
      </c>
      <c r="J11" t="s">
        <v>12</v>
      </c>
      <c r="K11" t="s">
        <v>13</v>
      </c>
      <c r="L11" s="4" t="str">
        <f t="shared" si="0"/>
        <v>0.25[-1.19,1.69]</v>
      </c>
      <c r="P11" t="str">
        <v>prop_other</v>
      </c>
      <c r="R11" t="s">
        <v>21</v>
      </c>
    </row>
    <row r="12" spans="1:18" x14ac:dyDescent="0.25">
      <c r="A12">
        <v>11</v>
      </c>
      <c r="B12" t="s">
        <v>23</v>
      </c>
      <c r="C12" t="s">
        <v>23</v>
      </c>
      <c r="D12">
        <v>0.63029212073831897</v>
      </c>
      <c r="E12">
        <v>-0.26552557829331203</v>
      </c>
      <c r="F12">
        <v>1.5261098197699501</v>
      </c>
      <c r="G12">
        <v>1205.2911268345599</v>
      </c>
      <c r="H12">
        <v>1299.0259514822601</v>
      </c>
      <c r="I12" t="s">
        <v>11</v>
      </c>
      <c r="J12" t="s">
        <v>12</v>
      </c>
      <c r="K12" t="s">
        <v>13</v>
      </c>
      <c r="L12" s="4" t="str">
        <f t="shared" si="0"/>
        <v>0.63[-0.27,1.53]</v>
      </c>
      <c r="P12" t="str">
        <v>IMD_Average_score</v>
      </c>
      <c r="R12" t="s">
        <v>22</v>
      </c>
    </row>
    <row r="13" spans="1:18" x14ac:dyDescent="0.25">
      <c r="A13">
        <v>12</v>
      </c>
      <c r="B13" t="s">
        <v>24</v>
      </c>
      <c r="C13" t="s">
        <v>24</v>
      </c>
      <c r="D13">
        <v>-1.2889941578067201</v>
      </c>
      <c r="E13">
        <v>-1.92967169985682</v>
      </c>
      <c r="F13">
        <v>-0.64831661575662103</v>
      </c>
      <c r="G13">
        <v>1205.2911268345599</v>
      </c>
      <c r="H13">
        <v>1299.0259514822601</v>
      </c>
      <c r="I13" t="s">
        <v>11</v>
      </c>
      <c r="J13" t="s">
        <v>12</v>
      </c>
      <c r="K13" t="s">
        <v>13</v>
      </c>
      <c r="L13" s="4" t="str">
        <f t="shared" si="0"/>
        <v>-1.29[-1.93,-0.65]</v>
      </c>
      <c r="P13" t="str">
        <v>prop_o65</v>
      </c>
      <c r="R13" t="s">
        <v>23</v>
      </c>
    </row>
    <row r="14" spans="1:18" x14ac:dyDescent="0.25">
      <c r="A14">
        <v>13</v>
      </c>
      <c r="B14" t="s">
        <v>25</v>
      </c>
      <c r="C14" t="s">
        <v>25</v>
      </c>
      <c r="D14">
        <v>-0.278081486186111</v>
      </c>
      <c r="E14">
        <v>-0.60156862740614403</v>
      </c>
      <c r="F14">
        <v>4.5405655033922597E-2</v>
      </c>
      <c r="G14">
        <v>1205.2911268345599</v>
      </c>
      <c r="H14">
        <v>1299.0259514822601</v>
      </c>
      <c r="I14" t="s">
        <v>11</v>
      </c>
      <c r="J14" t="s">
        <v>12</v>
      </c>
      <c r="K14" t="s">
        <v>13</v>
      </c>
      <c r="L14" s="4" t="str">
        <f t="shared" si="0"/>
        <v>-0.28[-0.60,0.05]</v>
      </c>
      <c r="P14" t="str">
        <v>prop_u25</v>
      </c>
      <c r="R14" t="s">
        <v>24</v>
      </c>
    </row>
    <row r="15" spans="1:18" x14ac:dyDescent="0.25">
      <c r="A15">
        <v>14</v>
      </c>
      <c r="B15" t="s">
        <v>26</v>
      </c>
      <c r="C15" t="s">
        <v>26</v>
      </c>
      <c r="D15">
        <v>-0.33739160787721101</v>
      </c>
      <c r="E15">
        <v>-0.61530972705448195</v>
      </c>
      <c r="F15">
        <v>-5.9473488699940999E-2</v>
      </c>
      <c r="G15">
        <v>1205.2911268345599</v>
      </c>
      <c r="H15">
        <v>1299.0259514822601</v>
      </c>
      <c r="I15" t="s">
        <v>11</v>
      </c>
      <c r="J15" t="s">
        <v>12</v>
      </c>
      <c r="K15" t="s">
        <v>13</v>
      </c>
      <c r="L15" s="4" t="str">
        <f t="shared" si="0"/>
        <v>-0.34[-0.62,-0.06]</v>
      </c>
      <c r="P15" t="str">
        <v>Median_annual_income</v>
      </c>
      <c r="R15" t="s">
        <v>25</v>
      </c>
    </row>
    <row r="16" spans="1:18" x14ac:dyDescent="0.25">
      <c r="A16">
        <v>15</v>
      </c>
      <c r="B16" t="s">
        <v>27</v>
      </c>
      <c r="C16" t="s">
        <v>27</v>
      </c>
      <c r="D16">
        <v>-0.394355933493726</v>
      </c>
      <c r="E16">
        <v>-0.70078711971563701</v>
      </c>
      <c r="F16">
        <v>-8.7924747271815498E-2</v>
      </c>
      <c r="G16">
        <v>1205.2911268345599</v>
      </c>
      <c r="H16">
        <v>1299.0259514822601</v>
      </c>
      <c r="I16" t="s">
        <v>11</v>
      </c>
      <c r="J16" t="s">
        <v>12</v>
      </c>
      <c r="K16" t="s">
        <v>13</v>
      </c>
      <c r="L16" s="4" t="str">
        <f t="shared" si="0"/>
        <v>-0.39[-0.70,-0.09]</v>
      </c>
      <c r="P16" t="str">
        <v>Other_proportion</v>
      </c>
      <c r="R16" t="s">
        <v>26</v>
      </c>
    </row>
    <row r="17" spans="1:18" x14ac:dyDescent="0.25">
      <c r="A17">
        <v>16</v>
      </c>
      <c r="B17" t="s">
        <v>28</v>
      </c>
      <c r="C17" t="s">
        <v>28</v>
      </c>
      <c r="D17">
        <v>-0.22247740044633699</v>
      </c>
      <c r="E17">
        <v>-0.50303806588892896</v>
      </c>
      <c r="F17">
        <v>5.8083264996254998E-2</v>
      </c>
      <c r="G17">
        <v>1205.2911268345599</v>
      </c>
      <c r="H17">
        <v>1299.0259514822601</v>
      </c>
      <c r="I17" t="s">
        <v>11</v>
      </c>
      <c r="J17" t="s">
        <v>12</v>
      </c>
      <c r="K17" t="s">
        <v>13</v>
      </c>
      <c r="L17" s="4" t="str">
        <f t="shared" si="0"/>
        <v>-0.22[-0.50,0.06]</v>
      </c>
      <c r="P17" t="str">
        <v>unringfenced_percapita</v>
      </c>
      <c r="R17" t="s">
        <v>27</v>
      </c>
    </row>
    <row r="18" spans="1:18" x14ac:dyDescent="0.25">
      <c r="A18">
        <v>17</v>
      </c>
      <c r="B18" t="s">
        <v>29</v>
      </c>
      <c r="C18" t="s">
        <v>29</v>
      </c>
      <c r="D18">
        <v>-0.66588083837921097</v>
      </c>
      <c r="E18">
        <v>-1.0387603802808101</v>
      </c>
      <c r="F18">
        <v>-0.29300129647761702</v>
      </c>
      <c r="G18">
        <v>1205.2911268345599</v>
      </c>
      <c r="H18">
        <v>1299.0259514822601</v>
      </c>
      <c r="I18" t="s">
        <v>11</v>
      </c>
      <c r="J18" t="s">
        <v>12</v>
      </c>
      <c r="K18" t="s">
        <v>13</v>
      </c>
      <c r="L18" s="4" t="str">
        <f t="shared" si="0"/>
        <v>-0.67[-1.04,-0.29]</v>
      </c>
      <c r="O18" s="3"/>
      <c r="P18" t="str">
        <v>ASC_infection_control_fund_percapita</v>
      </c>
      <c r="R18" t="s">
        <v>28</v>
      </c>
    </row>
    <row r="19" spans="1:18" x14ac:dyDescent="0.25">
      <c r="A19">
        <v>18</v>
      </c>
      <c r="B19" t="s">
        <v>30</v>
      </c>
      <c r="C19" t="s">
        <v>30</v>
      </c>
      <c r="D19">
        <v>-1.3881661246861099</v>
      </c>
      <c r="E19">
        <v>-3.0797719992596102</v>
      </c>
      <c r="F19">
        <v>0.30343974988739097</v>
      </c>
      <c r="G19">
        <v>1205.2911268345599</v>
      </c>
      <c r="H19">
        <v>1299.0259514822601</v>
      </c>
      <c r="I19" t="s">
        <v>11</v>
      </c>
      <c r="J19" t="s">
        <v>12</v>
      </c>
      <c r="K19" t="s">
        <v>13</v>
      </c>
      <c r="L19" s="4" t="str">
        <f t="shared" si="0"/>
        <v>-1.39[-3.08,0.30]</v>
      </c>
      <c r="P19" t="str">
        <v>contain_outbreak_management_percapita</v>
      </c>
      <c r="R19" t="s">
        <v>29</v>
      </c>
    </row>
    <row r="20" spans="1:18" x14ac:dyDescent="0.25">
      <c r="A20">
        <v>19</v>
      </c>
      <c r="B20" t="s">
        <v>31</v>
      </c>
      <c r="C20" t="s">
        <v>31</v>
      </c>
      <c r="D20">
        <v>1.3509579739597399</v>
      </c>
      <c r="E20">
        <v>-0.30289035852995999</v>
      </c>
      <c r="F20">
        <v>3.0048063064494301</v>
      </c>
      <c r="G20">
        <v>1205.2911268345599</v>
      </c>
      <c r="H20">
        <v>1299.0259514822601</v>
      </c>
      <c r="I20" t="s">
        <v>11</v>
      </c>
      <c r="J20" t="s">
        <v>12</v>
      </c>
      <c r="K20" t="s">
        <v>13</v>
      </c>
      <c r="L20" s="4" t="str">
        <f t="shared" si="0"/>
        <v>1.35[-0.30,3.00]</v>
      </c>
      <c r="P20" t="str">
        <v>Income_score</v>
      </c>
      <c r="R20" t="s">
        <v>30</v>
      </c>
    </row>
    <row r="21" spans="1:18" x14ac:dyDescent="0.25">
      <c r="A21">
        <v>20</v>
      </c>
      <c r="B21" t="s">
        <v>32</v>
      </c>
      <c r="C21" t="s">
        <v>32</v>
      </c>
      <c r="D21">
        <v>-0.64474806569429299</v>
      </c>
      <c r="E21">
        <v>-1.18658164692267</v>
      </c>
      <c r="F21">
        <v>-0.102914484465917</v>
      </c>
      <c r="G21">
        <v>1205.2911268345599</v>
      </c>
      <c r="H21">
        <v>1299.0259514822601</v>
      </c>
      <c r="I21" t="s">
        <v>11</v>
      </c>
      <c r="J21" t="s">
        <v>12</v>
      </c>
      <c r="K21" t="s">
        <v>13</v>
      </c>
      <c r="L21" s="4" t="str">
        <f t="shared" si="0"/>
        <v>-0.64[-1.19,-0.10]</v>
      </c>
      <c r="P21" t="str">
        <v>Employment_score</v>
      </c>
      <c r="R21" t="s">
        <v>31</v>
      </c>
    </row>
    <row r="22" spans="1:18" x14ac:dyDescent="0.25">
      <c r="A22">
        <v>21</v>
      </c>
      <c r="B22" t="s">
        <v>33</v>
      </c>
      <c r="C22" t="s">
        <v>33</v>
      </c>
      <c r="D22">
        <v>-0.365961809165262</v>
      </c>
      <c r="E22">
        <v>-0.97869349407414297</v>
      </c>
      <c r="F22">
        <v>0.246769875743619</v>
      </c>
      <c r="G22">
        <v>1205.2911268345599</v>
      </c>
      <c r="H22">
        <v>1299.0259514822601</v>
      </c>
      <c r="I22" t="s">
        <v>11</v>
      </c>
      <c r="J22" t="s">
        <v>12</v>
      </c>
      <c r="K22" t="s">
        <v>13</v>
      </c>
      <c r="L22" s="4" t="str">
        <f t="shared" si="0"/>
        <v>-0.37[-0.98,0.25]</v>
      </c>
      <c r="P22" t="str">
        <v>Education_Skills_and_Training_score</v>
      </c>
      <c r="R22" t="s">
        <v>32</v>
      </c>
    </row>
    <row r="23" spans="1:18" x14ac:dyDescent="0.25">
      <c r="A23">
        <v>22</v>
      </c>
      <c r="B23" t="s">
        <v>34</v>
      </c>
      <c r="C23" t="s">
        <v>34</v>
      </c>
      <c r="D23">
        <v>-0.302613485335259</v>
      </c>
      <c r="E23">
        <v>-0.66762631049173704</v>
      </c>
      <c r="F23">
        <v>6.2399339821218897E-2</v>
      </c>
      <c r="G23">
        <v>1205.2911268345599</v>
      </c>
      <c r="H23">
        <v>1299.0259514822601</v>
      </c>
      <c r="I23" t="s">
        <v>11</v>
      </c>
      <c r="J23" t="s">
        <v>12</v>
      </c>
      <c r="K23" t="s">
        <v>13</v>
      </c>
      <c r="L23" s="4" t="str">
        <f t="shared" si="0"/>
        <v>-0.30[-0.67,0.06]</v>
      </c>
      <c r="P23" t="str">
        <v>Health_Deprivation_and_Disability_score</v>
      </c>
      <c r="R23" t="s">
        <v>33</v>
      </c>
    </row>
    <row r="24" spans="1:18" x14ac:dyDescent="0.25">
      <c r="A24">
        <v>23</v>
      </c>
      <c r="B24" t="s">
        <v>35</v>
      </c>
      <c r="C24" t="s">
        <v>35</v>
      </c>
      <c r="D24">
        <v>-0.16309992768092799</v>
      </c>
      <c r="E24">
        <v>-0.52608829235368804</v>
      </c>
      <c r="F24">
        <v>0.19988843699183201</v>
      </c>
      <c r="G24">
        <v>1205.2911268345599</v>
      </c>
      <c r="H24">
        <v>1299.0259514822601</v>
      </c>
      <c r="I24" t="s">
        <v>11</v>
      </c>
      <c r="J24" t="s">
        <v>12</v>
      </c>
      <c r="K24" t="s">
        <v>13</v>
      </c>
      <c r="L24" s="4" t="str">
        <f t="shared" si="0"/>
        <v>-0.16[-0.53,0.20]</v>
      </c>
      <c r="P24" t="str">
        <v>Crime_score</v>
      </c>
      <c r="R24" t="s">
        <v>34</v>
      </c>
    </row>
    <row r="25" spans="1:18" x14ac:dyDescent="0.25">
      <c r="A25">
        <v>24</v>
      </c>
      <c r="B25" t="s">
        <v>36</v>
      </c>
      <c r="C25" t="s">
        <v>36</v>
      </c>
      <c r="D25">
        <v>-0.47759874857169299</v>
      </c>
      <c r="E25">
        <v>-0.80618560746867696</v>
      </c>
      <c r="F25">
        <v>-0.14901188967470899</v>
      </c>
      <c r="G25">
        <v>1205.2911268345599</v>
      </c>
      <c r="H25">
        <v>1299.0259514822601</v>
      </c>
      <c r="I25" t="s">
        <v>11</v>
      </c>
      <c r="J25" t="s">
        <v>12</v>
      </c>
      <c r="K25" t="s">
        <v>13</v>
      </c>
      <c r="L25" s="4" t="str">
        <f t="shared" si="0"/>
        <v>-0.48[-0.81,-0.15]</v>
      </c>
      <c r="P25" t="str">
        <v>Barriers_to_Housing_and_Services_score</v>
      </c>
      <c r="R25" t="s">
        <v>35</v>
      </c>
    </row>
    <row r="26" spans="1:18" x14ac:dyDescent="0.25">
      <c r="A26">
        <v>25</v>
      </c>
      <c r="B26" t="s">
        <v>37</v>
      </c>
      <c r="C26" t="s">
        <v>10</v>
      </c>
      <c r="D26">
        <v>79.321337579649693</v>
      </c>
      <c r="E26">
        <v>79.141162551939402</v>
      </c>
      <c r="F26">
        <v>79.501512607359899</v>
      </c>
      <c r="G26">
        <v>1219.9290086322301</v>
      </c>
      <c r="H26">
        <v>1313.66383327994</v>
      </c>
      <c r="I26" t="s">
        <v>38</v>
      </c>
      <c r="J26" t="s">
        <v>12</v>
      </c>
      <c r="K26" t="s">
        <v>13</v>
      </c>
      <c r="L26" s="4" t="str">
        <f t="shared" si="0"/>
        <v>79.32[79.14,79.50]</v>
      </c>
      <c r="P26" t="str">
        <v>Living_Environment_score</v>
      </c>
      <c r="R26" t="s">
        <v>36</v>
      </c>
    </row>
    <row r="27" spans="1:18" x14ac:dyDescent="0.25">
      <c r="A27">
        <v>26</v>
      </c>
      <c r="B27" t="s">
        <v>39</v>
      </c>
      <c r="C27" t="s">
        <v>14</v>
      </c>
      <c r="D27">
        <v>-0.16871105349457999</v>
      </c>
      <c r="E27">
        <v>-0.63678152428648704</v>
      </c>
      <c r="F27">
        <v>0.29935941729732601</v>
      </c>
      <c r="G27">
        <v>1219.9290086322301</v>
      </c>
      <c r="H27">
        <v>1313.66383327994</v>
      </c>
      <c r="I27" t="s">
        <v>38</v>
      </c>
      <c r="J27" t="s">
        <v>12</v>
      </c>
      <c r="K27" t="s">
        <v>13</v>
      </c>
      <c r="L27" s="4" t="str">
        <f t="shared" si="0"/>
        <v>-0.17[-0.64,0.30]</v>
      </c>
      <c r="P27" t="str">
        <v>Median_age</v>
      </c>
      <c r="R27" t="s">
        <v>89</v>
      </c>
    </row>
    <row r="28" spans="1:18" x14ac:dyDescent="0.25">
      <c r="A28">
        <v>27</v>
      </c>
      <c r="B28" t="s">
        <v>40</v>
      </c>
      <c r="C28" t="s">
        <v>15</v>
      </c>
      <c r="D28">
        <v>-1.3988799825350499E-2</v>
      </c>
      <c r="E28">
        <v>-1.06965398861421</v>
      </c>
      <c r="F28">
        <v>1.0416763889635099</v>
      </c>
      <c r="G28">
        <v>1219.9290086322301</v>
      </c>
      <c r="H28">
        <v>1313.66383327994</v>
      </c>
      <c r="I28" t="s">
        <v>38</v>
      </c>
      <c r="J28" t="s">
        <v>12</v>
      </c>
      <c r="K28" t="s">
        <v>13</v>
      </c>
      <c r="L28" s="4" t="str">
        <f t="shared" si="0"/>
        <v>-0.01[-1.07,1.04]</v>
      </c>
      <c r="P28" t="str">
        <v>mean_popden</v>
      </c>
      <c r="R28" t="s">
        <v>90</v>
      </c>
    </row>
    <row r="29" spans="1:18" x14ac:dyDescent="0.25">
      <c r="A29">
        <v>28</v>
      </c>
      <c r="B29" t="s">
        <v>41</v>
      </c>
      <c r="C29" t="s">
        <v>16</v>
      </c>
      <c r="D29">
        <v>-0.83814337835773101</v>
      </c>
      <c r="E29">
        <v>-2.1353189397885002</v>
      </c>
      <c r="F29">
        <v>0.459032183073037</v>
      </c>
      <c r="G29">
        <v>1219.9290086322301</v>
      </c>
      <c r="H29">
        <v>1313.66383327994</v>
      </c>
      <c r="I29" t="s">
        <v>38</v>
      </c>
      <c r="J29" t="s">
        <v>12</v>
      </c>
      <c r="K29" t="s">
        <v>13</v>
      </c>
      <c r="L29" s="4" t="str">
        <f t="shared" si="0"/>
        <v>-0.84[-2.14,0.46]</v>
      </c>
      <c r="P29" t="str">
        <v>no_jobs</v>
      </c>
      <c r="R29" t="s">
        <v>97</v>
      </c>
    </row>
    <row r="30" spans="1:18" x14ac:dyDescent="0.25">
      <c r="A30">
        <v>29</v>
      </c>
      <c r="B30" t="s">
        <v>42</v>
      </c>
      <c r="C30" t="s">
        <v>17</v>
      </c>
      <c r="D30">
        <v>-2.64783127655318</v>
      </c>
      <c r="E30">
        <v>-3.0022865568303798</v>
      </c>
      <c r="F30">
        <v>-2.2933759962759899</v>
      </c>
      <c r="G30">
        <v>1219.9290086322301</v>
      </c>
      <c r="H30">
        <v>1313.66383327994</v>
      </c>
      <c r="I30" t="s">
        <v>38</v>
      </c>
      <c r="J30" t="s">
        <v>12</v>
      </c>
      <c r="K30" t="s">
        <v>13</v>
      </c>
      <c r="L30" s="4" t="str">
        <f t="shared" si="0"/>
        <v>-2.65[-3.00,-2.29]</v>
      </c>
      <c r="P30" t="str">
        <v>omicron_support_fund_percapita</v>
      </c>
      <c r="R30" t="s">
        <v>145</v>
      </c>
    </row>
    <row r="31" spans="1:18" x14ac:dyDescent="0.25">
      <c r="A31">
        <v>30</v>
      </c>
      <c r="B31" t="s">
        <v>43</v>
      </c>
      <c r="C31" t="s">
        <v>18</v>
      </c>
      <c r="D31">
        <v>-0.25885241131597603</v>
      </c>
      <c r="E31">
        <v>-0.56765960865856002</v>
      </c>
      <c r="F31">
        <v>4.9954786026609001E-2</v>
      </c>
      <c r="G31">
        <v>1219.9290086322301</v>
      </c>
      <c r="H31">
        <v>1313.66383327994</v>
      </c>
      <c r="I31" t="s">
        <v>38</v>
      </c>
      <c r="J31" t="s">
        <v>12</v>
      </c>
      <c r="K31" t="s">
        <v>13</v>
      </c>
      <c r="L31" s="4" t="str">
        <f t="shared" si="0"/>
        <v>-0.26[-0.57,0.05]</v>
      </c>
      <c r="P31" t="str">
        <v>Population</v>
      </c>
      <c r="R31" t="s">
        <v>96</v>
      </c>
    </row>
    <row r="32" spans="1:18" x14ac:dyDescent="0.25">
      <c r="A32">
        <v>31</v>
      </c>
      <c r="B32" t="s">
        <v>44</v>
      </c>
      <c r="C32" t="s">
        <v>19</v>
      </c>
      <c r="D32">
        <v>-0.55854093638969504</v>
      </c>
      <c r="E32">
        <v>-0.85545211811168398</v>
      </c>
      <c r="F32">
        <v>-0.26162975466770499</v>
      </c>
      <c r="G32">
        <v>1219.9290086322301</v>
      </c>
      <c r="H32">
        <v>1313.66383327994</v>
      </c>
      <c r="I32" t="s">
        <v>38</v>
      </c>
      <c r="J32" t="s">
        <v>12</v>
      </c>
      <c r="K32" t="s">
        <v>13</v>
      </c>
      <c r="L32" s="4" t="str">
        <f t="shared" si="0"/>
        <v>-0.56[-0.86,-0.26]</v>
      </c>
      <c r="P32" t="str">
        <v>DWP_winter_grant_percapita</v>
      </c>
      <c r="R32" t="s">
        <v>98</v>
      </c>
    </row>
    <row r="33" spans="1:18" x14ac:dyDescent="0.25">
      <c r="A33">
        <v>32</v>
      </c>
      <c r="B33" t="s">
        <v>45</v>
      </c>
      <c r="C33" t="s">
        <v>20</v>
      </c>
      <c r="D33">
        <v>-0.72587493757751498</v>
      </c>
      <c r="E33">
        <v>-1.15887942236644</v>
      </c>
      <c r="F33">
        <v>-0.29287045278858498</v>
      </c>
      <c r="G33">
        <v>1219.9290086322301</v>
      </c>
      <c r="H33">
        <v>1313.66383327994</v>
      </c>
      <c r="I33" t="s">
        <v>38</v>
      </c>
      <c r="J33" t="s">
        <v>12</v>
      </c>
      <c r="K33" t="s">
        <v>13</v>
      </c>
      <c r="L33" s="4" t="str">
        <f t="shared" si="0"/>
        <v>-0.73[-1.16,-0.29]</v>
      </c>
      <c r="P33" t="str">
        <v>fire_contingency</v>
      </c>
      <c r="R33" t="s">
        <v>109</v>
      </c>
    </row>
    <row r="34" spans="1:18" x14ac:dyDescent="0.25">
      <c r="A34">
        <v>33</v>
      </c>
      <c r="B34" t="s">
        <v>46</v>
      </c>
      <c r="C34" t="s">
        <v>21</v>
      </c>
      <c r="D34">
        <v>-2.15117296428682E-2</v>
      </c>
      <c r="E34">
        <v>-0.43396999736333802</v>
      </c>
      <c r="F34">
        <v>0.39094653807760199</v>
      </c>
      <c r="G34">
        <v>1219.9290086322301</v>
      </c>
      <c r="H34">
        <v>1313.66383327994</v>
      </c>
      <c r="I34" t="s">
        <v>38</v>
      </c>
      <c r="J34" t="s">
        <v>12</v>
      </c>
      <c r="K34" t="s">
        <v>13</v>
      </c>
      <c r="L34" s="4" t="str">
        <f t="shared" si="0"/>
        <v>-0.02[-0.43,0.39]</v>
      </c>
      <c r="P34" t="str">
        <v>residential_percent_change_from_baseline</v>
      </c>
      <c r="R34" t="s">
        <v>105</v>
      </c>
    </row>
    <row r="35" spans="1:18" x14ac:dyDescent="0.25">
      <c r="A35">
        <v>34</v>
      </c>
      <c r="B35" t="s">
        <v>47</v>
      </c>
      <c r="C35" t="s">
        <v>22</v>
      </c>
      <c r="D35">
        <v>0.108948291848691</v>
      </c>
      <c r="E35">
        <v>-1.3636584068070301</v>
      </c>
      <c r="F35">
        <v>1.5815549905044199</v>
      </c>
      <c r="G35">
        <v>1219.9290086322301</v>
      </c>
      <c r="H35">
        <v>1313.66383327994</v>
      </c>
      <c r="I35" t="s">
        <v>38</v>
      </c>
      <c r="J35" t="s">
        <v>12</v>
      </c>
      <c r="K35" t="s">
        <v>13</v>
      </c>
      <c r="L35" s="4" t="str">
        <f t="shared" si="0"/>
        <v>0.11[-1.36,1.58]</v>
      </c>
      <c r="P35" t="str">
        <v>ASC_rapid_testing</v>
      </c>
      <c r="R35" t="s">
        <v>107</v>
      </c>
    </row>
    <row r="36" spans="1:18" x14ac:dyDescent="0.25">
      <c r="A36">
        <v>35</v>
      </c>
      <c r="B36" t="s">
        <v>48</v>
      </c>
      <c r="C36" t="s">
        <v>23</v>
      </c>
      <c r="D36">
        <v>0.76209630050538701</v>
      </c>
      <c r="E36">
        <v>-0.15484701972718001</v>
      </c>
      <c r="F36">
        <v>1.6790396207379501</v>
      </c>
      <c r="G36">
        <v>1219.9290086322301</v>
      </c>
      <c r="H36">
        <v>1313.66383327994</v>
      </c>
      <c r="I36" t="s">
        <v>38</v>
      </c>
      <c r="J36" t="s">
        <v>12</v>
      </c>
      <c r="K36" t="s">
        <v>13</v>
      </c>
      <c r="L36" s="4" t="str">
        <f t="shared" si="0"/>
        <v>0.76[-0.15,1.68]</v>
      </c>
    </row>
    <row r="37" spans="1:18" x14ac:dyDescent="0.25">
      <c r="A37">
        <v>36</v>
      </c>
      <c r="B37" t="s">
        <v>49</v>
      </c>
      <c r="C37" t="s">
        <v>24</v>
      </c>
      <c r="D37">
        <v>-1.49083717240639</v>
      </c>
      <c r="E37">
        <v>-2.1466234928161101</v>
      </c>
      <c r="F37">
        <v>-0.83505085199666296</v>
      </c>
      <c r="G37">
        <v>1219.9290086322301</v>
      </c>
      <c r="H37">
        <v>1313.66383327994</v>
      </c>
      <c r="I37" t="s">
        <v>38</v>
      </c>
      <c r="J37" t="s">
        <v>12</v>
      </c>
      <c r="K37" t="s">
        <v>13</v>
      </c>
      <c r="L37" s="4" t="str">
        <f t="shared" si="0"/>
        <v>-1.49[-2.15,-0.84]</v>
      </c>
    </row>
    <row r="38" spans="1:18" x14ac:dyDescent="0.25">
      <c r="A38">
        <v>37</v>
      </c>
      <c r="B38" t="s">
        <v>50</v>
      </c>
      <c r="C38" t="s">
        <v>25</v>
      </c>
      <c r="D38">
        <v>-0.24256382620575101</v>
      </c>
      <c r="E38">
        <v>-0.57367960304682197</v>
      </c>
      <c r="F38">
        <v>8.8551950635319496E-2</v>
      </c>
      <c r="G38">
        <v>1219.9290086322301</v>
      </c>
      <c r="H38">
        <v>1313.66383327994</v>
      </c>
      <c r="I38" t="s">
        <v>38</v>
      </c>
      <c r="J38" t="s">
        <v>12</v>
      </c>
      <c r="K38" t="s">
        <v>13</v>
      </c>
      <c r="L38" s="4" t="str">
        <f t="shared" si="0"/>
        <v>-0.24[-0.57,0.09]</v>
      </c>
    </row>
    <row r="39" spans="1:18" x14ac:dyDescent="0.25">
      <c r="A39">
        <v>38</v>
      </c>
      <c r="B39" t="s">
        <v>51</v>
      </c>
      <c r="C39" t="s">
        <v>26</v>
      </c>
      <c r="D39">
        <v>-0.361672252285895</v>
      </c>
      <c r="E39">
        <v>-0.64614437560593097</v>
      </c>
      <c r="F39">
        <v>-7.7200128965859899E-2</v>
      </c>
      <c r="G39">
        <v>1219.9290086322301</v>
      </c>
      <c r="H39">
        <v>1313.66383327994</v>
      </c>
      <c r="I39" t="s">
        <v>38</v>
      </c>
      <c r="J39" t="s">
        <v>12</v>
      </c>
      <c r="K39" t="s">
        <v>13</v>
      </c>
      <c r="L39" s="4" t="str">
        <f t="shared" si="0"/>
        <v>-0.36[-0.65,-0.08]</v>
      </c>
    </row>
    <row r="40" spans="1:18" x14ac:dyDescent="0.25">
      <c r="A40">
        <v>39</v>
      </c>
      <c r="B40" t="s">
        <v>52</v>
      </c>
      <c r="C40" t="s">
        <v>27</v>
      </c>
      <c r="D40">
        <v>-0.48058117620984098</v>
      </c>
      <c r="E40">
        <v>-0.79423877598807702</v>
      </c>
      <c r="F40">
        <v>-0.16692357643160599</v>
      </c>
      <c r="G40">
        <v>1219.9290086322301</v>
      </c>
      <c r="H40">
        <v>1313.66383327994</v>
      </c>
      <c r="I40" t="s">
        <v>38</v>
      </c>
      <c r="J40" t="s">
        <v>12</v>
      </c>
      <c r="K40" t="s">
        <v>13</v>
      </c>
      <c r="L40" s="4" t="str">
        <f t="shared" si="0"/>
        <v>-0.48[-0.79,-0.17]</v>
      </c>
    </row>
    <row r="41" spans="1:18" x14ac:dyDescent="0.25">
      <c r="A41">
        <v>40</v>
      </c>
      <c r="B41" t="s">
        <v>53</v>
      </c>
      <c r="C41" t="s">
        <v>28</v>
      </c>
      <c r="D41">
        <v>-0.25038258191448398</v>
      </c>
      <c r="E41">
        <v>-0.53755956934806803</v>
      </c>
      <c r="F41">
        <v>3.6794405519100001E-2</v>
      </c>
      <c r="G41">
        <v>1219.9290086322301</v>
      </c>
      <c r="H41">
        <v>1313.66383327994</v>
      </c>
      <c r="I41" t="s">
        <v>38</v>
      </c>
      <c r="J41" t="s">
        <v>12</v>
      </c>
      <c r="K41" t="s">
        <v>13</v>
      </c>
      <c r="L41" s="4" t="str">
        <f t="shared" si="0"/>
        <v>-0.25[-0.54,0.04]</v>
      </c>
    </row>
    <row r="42" spans="1:18" x14ac:dyDescent="0.25">
      <c r="A42">
        <v>41</v>
      </c>
      <c r="B42" t="s">
        <v>54</v>
      </c>
      <c r="C42" t="s">
        <v>29</v>
      </c>
      <c r="D42">
        <v>-0.618203382471051</v>
      </c>
      <c r="E42">
        <v>-0.99987635630004201</v>
      </c>
      <c r="F42">
        <v>-0.23653040864206001</v>
      </c>
      <c r="G42">
        <v>1219.9290086322301</v>
      </c>
      <c r="H42">
        <v>1313.66383327994</v>
      </c>
      <c r="I42" t="s">
        <v>38</v>
      </c>
      <c r="J42" t="s">
        <v>12</v>
      </c>
      <c r="K42" t="s">
        <v>13</v>
      </c>
      <c r="L42" s="4" t="str">
        <f t="shared" si="0"/>
        <v>-0.62[-1.00,-0.24]</v>
      </c>
    </row>
    <row r="43" spans="1:18" x14ac:dyDescent="0.25">
      <c r="A43">
        <v>42</v>
      </c>
      <c r="B43" t="s">
        <v>55</v>
      </c>
      <c r="C43" t="s">
        <v>30</v>
      </c>
      <c r="D43">
        <v>-1.5156281356510599</v>
      </c>
      <c r="E43">
        <v>-3.2471263063537301</v>
      </c>
      <c r="F43">
        <v>0.21587003505161201</v>
      </c>
      <c r="G43">
        <v>1219.9290086322301</v>
      </c>
      <c r="H43">
        <v>1313.66383327994</v>
      </c>
      <c r="I43" t="s">
        <v>38</v>
      </c>
      <c r="J43" t="s">
        <v>12</v>
      </c>
      <c r="K43" t="s">
        <v>13</v>
      </c>
      <c r="L43" s="4" t="str">
        <f t="shared" si="0"/>
        <v>-1.52[-3.25,0.22]</v>
      </c>
    </row>
    <row r="44" spans="1:18" x14ac:dyDescent="0.25">
      <c r="A44">
        <v>43</v>
      </c>
      <c r="B44" t="s">
        <v>56</v>
      </c>
      <c r="C44" t="s">
        <v>31</v>
      </c>
      <c r="D44">
        <v>1.3681036662564801</v>
      </c>
      <c r="E44">
        <v>-0.32474654511297302</v>
      </c>
      <c r="F44">
        <v>3.06095387762594</v>
      </c>
      <c r="G44">
        <v>1219.9290086322301</v>
      </c>
      <c r="H44">
        <v>1313.66383327994</v>
      </c>
      <c r="I44" t="s">
        <v>38</v>
      </c>
      <c r="J44" t="s">
        <v>12</v>
      </c>
      <c r="K44" t="s">
        <v>13</v>
      </c>
      <c r="L44" s="4" t="str">
        <f t="shared" si="0"/>
        <v>1.37[-0.32,3.06]</v>
      </c>
    </row>
    <row r="45" spans="1:18" x14ac:dyDescent="0.25">
      <c r="A45">
        <v>44</v>
      </c>
      <c r="B45" t="s">
        <v>57</v>
      </c>
      <c r="C45" t="s">
        <v>32</v>
      </c>
      <c r="D45">
        <v>-0.61362816845511703</v>
      </c>
      <c r="E45">
        <v>-1.1682395403024399</v>
      </c>
      <c r="F45">
        <v>-5.9016796607789898E-2</v>
      </c>
      <c r="G45">
        <v>1219.9290086322301</v>
      </c>
      <c r="H45">
        <v>1313.66383327994</v>
      </c>
      <c r="I45" t="s">
        <v>38</v>
      </c>
      <c r="J45" t="s">
        <v>12</v>
      </c>
      <c r="K45" t="s">
        <v>13</v>
      </c>
      <c r="L45" s="4" t="str">
        <f t="shared" si="0"/>
        <v>-0.61[-1.17,-0.06]</v>
      </c>
    </row>
    <row r="46" spans="1:18" x14ac:dyDescent="0.25">
      <c r="A46">
        <v>45</v>
      </c>
      <c r="B46" t="s">
        <v>58</v>
      </c>
      <c r="C46" t="s">
        <v>33</v>
      </c>
      <c r="D46">
        <v>-0.434105106642179</v>
      </c>
      <c r="E46">
        <v>-1.0612865367248701</v>
      </c>
      <c r="F46">
        <v>0.19307632344051301</v>
      </c>
      <c r="G46">
        <v>1219.9290086322301</v>
      </c>
      <c r="H46">
        <v>1313.66383327994</v>
      </c>
      <c r="I46" t="s">
        <v>38</v>
      </c>
      <c r="J46" t="s">
        <v>12</v>
      </c>
      <c r="K46" t="s">
        <v>13</v>
      </c>
      <c r="L46" s="4" t="str">
        <f t="shared" si="0"/>
        <v>-0.43[-1.06,0.19]</v>
      </c>
    </row>
    <row r="47" spans="1:18" x14ac:dyDescent="0.25">
      <c r="A47">
        <v>46</v>
      </c>
      <c r="B47" t="s">
        <v>59</v>
      </c>
      <c r="C47" t="s">
        <v>34</v>
      </c>
      <c r="D47">
        <v>-0.32055701025182998</v>
      </c>
      <c r="E47">
        <v>-0.69417775048531005</v>
      </c>
      <c r="F47">
        <v>5.3063729981649203E-2</v>
      </c>
      <c r="G47">
        <v>1219.9290086322301</v>
      </c>
      <c r="H47">
        <v>1313.66383327994</v>
      </c>
      <c r="I47" t="s">
        <v>38</v>
      </c>
      <c r="J47" t="s">
        <v>12</v>
      </c>
      <c r="K47" t="s">
        <v>13</v>
      </c>
      <c r="L47" s="4" t="str">
        <f t="shared" si="0"/>
        <v>-0.32[-0.69,0.05]</v>
      </c>
    </row>
    <row r="48" spans="1:18" x14ac:dyDescent="0.25">
      <c r="A48">
        <v>47</v>
      </c>
      <c r="B48" t="s">
        <v>60</v>
      </c>
      <c r="C48" t="s">
        <v>35</v>
      </c>
      <c r="D48">
        <v>-0.16256346043208</v>
      </c>
      <c r="E48">
        <v>-0.53411199834177603</v>
      </c>
      <c r="F48">
        <v>0.20898507747761599</v>
      </c>
      <c r="G48">
        <v>1219.9290086322301</v>
      </c>
      <c r="H48">
        <v>1313.66383327994</v>
      </c>
      <c r="I48" t="s">
        <v>38</v>
      </c>
      <c r="J48" t="s">
        <v>12</v>
      </c>
      <c r="K48" t="s">
        <v>13</v>
      </c>
      <c r="L48" s="4" t="str">
        <f t="shared" si="0"/>
        <v>-0.16[-0.53,0.21]</v>
      </c>
    </row>
    <row r="49" spans="1:12" x14ac:dyDescent="0.25">
      <c r="A49">
        <v>48</v>
      </c>
      <c r="B49" t="s">
        <v>61</v>
      </c>
      <c r="C49" t="s">
        <v>36</v>
      </c>
      <c r="D49">
        <v>-0.52128273405633996</v>
      </c>
      <c r="E49">
        <v>-0.85761849266826196</v>
      </c>
      <c r="F49">
        <v>-0.18494697544441699</v>
      </c>
      <c r="G49">
        <v>1219.9290086322301</v>
      </c>
      <c r="H49">
        <v>1313.66383327994</v>
      </c>
      <c r="I49" t="s">
        <v>38</v>
      </c>
      <c r="J49" t="s">
        <v>12</v>
      </c>
      <c r="K49" t="s">
        <v>13</v>
      </c>
      <c r="L49" s="4" t="str">
        <f t="shared" si="0"/>
        <v>-0.52[-0.86,-0.18]</v>
      </c>
    </row>
    <row r="50" spans="1:12" x14ac:dyDescent="0.25">
      <c r="A50">
        <v>49</v>
      </c>
      <c r="B50" t="s">
        <v>62</v>
      </c>
      <c r="C50" t="s">
        <v>10</v>
      </c>
      <c r="D50">
        <v>64.362101910796198</v>
      </c>
      <c r="E50">
        <v>64.137661240933397</v>
      </c>
      <c r="F50">
        <v>64.5865425806589</v>
      </c>
      <c r="G50">
        <v>1357.88970709711</v>
      </c>
      <c r="H50">
        <v>1451.6245317448099</v>
      </c>
      <c r="I50" t="s">
        <v>63</v>
      </c>
      <c r="J50" t="s">
        <v>12</v>
      </c>
      <c r="K50" t="s">
        <v>13</v>
      </c>
      <c r="L50" s="4" t="str">
        <f t="shared" si="0"/>
        <v>64.36[64.14,64.59]</v>
      </c>
    </row>
    <row r="51" spans="1:12" x14ac:dyDescent="0.25">
      <c r="A51">
        <v>50</v>
      </c>
      <c r="B51" t="s">
        <v>64</v>
      </c>
      <c r="C51" t="s">
        <v>14</v>
      </c>
      <c r="D51">
        <v>0.60709172544461798</v>
      </c>
      <c r="E51">
        <v>2.40250744076442E-2</v>
      </c>
      <c r="F51">
        <v>1.19015837648159</v>
      </c>
      <c r="G51">
        <v>1357.88970709711</v>
      </c>
      <c r="H51">
        <v>1451.6245317448099</v>
      </c>
      <c r="I51" t="s">
        <v>63</v>
      </c>
      <c r="J51" t="s">
        <v>12</v>
      </c>
      <c r="K51" t="s">
        <v>13</v>
      </c>
      <c r="L51" s="4" t="str">
        <f t="shared" si="0"/>
        <v>0.61[0.02,1.19]</v>
      </c>
    </row>
    <row r="52" spans="1:12" x14ac:dyDescent="0.25">
      <c r="A52">
        <v>51</v>
      </c>
      <c r="B52" t="s">
        <v>65</v>
      </c>
      <c r="C52" t="s">
        <v>15</v>
      </c>
      <c r="D52">
        <v>-1.0697850997312</v>
      </c>
      <c r="E52">
        <v>-2.3848075261663899</v>
      </c>
      <c r="F52">
        <v>0.24523732670399001</v>
      </c>
      <c r="G52">
        <v>1357.88970709711</v>
      </c>
      <c r="H52">
        <v>1451.6245317448099</v>
      </c>
      <c r="I52" t="s">
        <v>63</v>
      </c>
      <c r="J52" t="s">
        <v>12</v>
      </c>
      <c r="K52" t="s">
        <v>13</v>
      </c>
      <c r="L52" s="4" t="str">
        <f t="shared" si="0"/>
        <v>-1.07[-2.38,0.25]</v>
      </c>
    </row>
    <row r="53" spans="1:12" x14ac:dyDescent="0.25">
      <c r="A53">
        <v>52</v>
      </c>
      <c r="B53" t="s">
        <v>66</v>
      </c>
      <c r="C53" t="s">
        <v>16</v>
      </c>
      <c r="D53">
        <v>-1.67037645345037</v>
      </c>
      <c r="E53">
        <v>-3.28624384438154</v>
      </c>
      <c r="F53">
        <v>-5.4509062519198001E-2</v>
      </c>
      <c r="G53">
        <v>1357.88970709711</v>
      </c>
      <c r="H53">
        <v>1451.6245317448099</v>
      </c>
      <c r="I53" t="s">
        <v>63</v>
      </c>
      <c r="J53" t="s">
        <v>12</v>
      </c>
      <c r="K53" t="s">
        <v>13</v>
      </c>
      <c r="L53" s="4" t="str">
        <f t="shared" si="0"/>
        <v>-1.67[-3.29,-0.05]</v>
      </c>
    </row>
    <row r="54" spans="1:12" x14ac:dyDescent="0.25">
      <c r="A54">
        <v>53</v>
      </c>
      <c r="B54" t="s">
        <v>67</v>
      </c>
      <c r="C54" t="s">
        <v>17</v>
      </c>
      <c r="D54">
        <v>-2.4341366346264399</v>
      </c>
      <c r="E54">
        <v>-2.8756749629553702</v>
      </c>
      <c r="F54">
        <v>-1.9925983062974999</v>
      </c>
      <c r="G54">
        <v>1357.88970709711</v>
      </c>
      <c r="H54">
        <v>1451.6245317448099</v>
      </c>
      <c r="I54" t="s">
        <v>63</v>
      </c>
      <c r="J54" t="s">
        <v>12</v>
      </c>
      <c r="K54" t="s">
        <v>13</v>
      </c>
      <c r="L54" s="4" t="str">
        <f t="shared" si="0"/>
        <v>-2.43[-2.88,-1.99]</v>
      </c>
    </row>
    <row r="55" spans="1:12" x14ac:dyDescent="0.25">
      <c r="A55">
        <v>54</v>
      </c>
      <c r="B55" t="s">
        <v>68</v>
      </c>
      <c r="C55" t="s">
        <v>18</v>
      </c>
      <c r="D55">
        <v>-0.22684535355994201</v>
      </c>
      <c r="E55">
        <v>-0.61152071679323505</v>
      </c>
      <c r="F55">
        <v>0.15783000967335001</v>
      </c>
      <c r="G55">
        <v>1357.88970709711</v>
      </c>
      <c r="H55">
        <v>1451.6245317448099</v>
      </c>
      <c r="I55" t="s">
        <v>63</v>
      </c>
      <c r="J55" t="s">
        <v>12</v>
      </c>
      <c r="K55" t="s">
        <v>13</v>
      </c>
      <c r="L55" s="4" t="str">
        <f t="shared" si="0"/>
        <v>-0.23[-0.61,0.16]</v>
      </c>
    </row>
    <row r="56" spans="1:12" x14ac:dyDescent="0.25">
      <c r="A56">
        <v>55</v>
      </c>
      <c r="B56" t="s">
        <v>69</v>
      </c>
      <c r="C56" t="s">
        <v>19</v>
      </c>
      <c r="D56">
        <v>-1.71387018073731</v>
      </c>
      <c r="E56">
        <v>-2.0837268992976101</v>
      </c>
      <c r="F56">
        <v>-1.3440134621770099</v>
      </c>
      <c r="G56">
        <v>1357.88970709711</v>
      </c>
      <c r="H56">
        <v>1451.6245317448099</v>
      </c>
      <c r="I56" t="s">
        <v>63</v>
      </c>
      <c r="J56" t="s">
        <v>12</v>
      </c>
      <c r="K56" t="s">
        <v>13</v>
      </c>
      <c r="L56" s="4" t="str">
        <f t="shared" si="0"/>
        <v>-1.71[-2.08,-1.34]</v>
      </c>
    </row>
    <row r="57" spans="1:12" x14ac:dyDescent="0.25">
      <c r="A57">
        <v>56</v>
      </c>
      <c r="B57" t="s">
        <v>70</v>
      </c>
      <c r="C57" t="s">
        <v>20</v>
      </c>
      <c r="D57">
        <v>-1.18458621913316</v>
      </c>
      <c r="E57">
        <v>-1.7239718257550201</v>
      </c>
      <c r="F57">
        <v>-0.64520061251129901</v>
      </c>
      <c r="G57">
        <v>1357.88970709711</v>
      </c>
      <c r="H57">
        <v>1451.6245317448099</v>
      </c>
      <c r="I57" t="s">
        <v>63</v>
      </c>
      <c r="J57" t="s">
        <v>12</v>
      </c>
      <c r="K57" t="s">
        <v>13</v>
      </c>
      <c r="L57" s="4" t="str">
        <f t="shared" si="0"/>
        <v>-1.18[-1.72,-0.65]</v>
      </c>
    </row>
    <row r="58" spans="1:12" x14ac:dyDescent="0.25">
      <c r="A58">
        <v>57</v>
      </c>
      <c r="B58" t="s">
        <v>71</v>
      </c>
      <c r="C58" t="s">
        <v>21</v>
      </c>
      <c r="D58">
        <v>-9.45001219103839E-2</v>
      </c>
      <c r="E58">
        <v>-0.60829168933272404</v>
      </c>
      <c r="F58">
        <v>0.41929144551195602</v>
      </c>
      <c r="G58">
        <v>1357.88970709711</v>
      </c>
      <c r="H58">
        <v>1451.6245317448099</v>
      </c>
      <c r="I58" t="s">
        <v>63</v>
      </c>
      <c r="J58" t="s">
        <v>12</v>
      </c>
      <c r="K58" t="s">
        <v>13</v>
      </c>
      <c r="L58" s="4" t="str">
        <f t="shared" si="0"/>
        <v>-0.09[-0.61,0.42]</v>
      </c>
    </row>
    <row r="59" spans="1:12" x14ac:dyDescent="0.25">
      <c r="A59">
        <v>58</v>
      </c>
      <c r="B59" t="s">
        <v>72</v>
      </c>
      <c r="C59" t="s">
        <v>22</v>
      </c>
      <c r="D59">
        <v>0.26794511049160602</v>
      </c>
      <c r="E59">
        <v>-1.56645357444815</v>
      </c>
      <c r="F59">
        <v>2.10234379543137</v>
      </c>
      <c r="G59">
        <v>1357.88970709711</v>
      </c>
      <c r="H59">
        <v>1451.6245317448099</v>
      </c>
      <c r="I59" t="s">
        <v>63</v>
      </c>
      <c r="J59" t="s">
        <v>12</v>
      </c>
      <c r="K59" t="s">
        <v>13</v>
      </c>
      <c r="L59" s="4" t="str">
        <f t="shared" si="0"/>
        <v>0.27[-1.57,2.10]</v>
      </c>
    </row>
    <row r="60" spans="1:12" x14ac:dyDescent="0.25">
      <c r="A60">
        <v>59</v>
      </c>
      <c r="B60" t="s">
        <v>73</v>
      </c>
      <c r="C60" t="s">
        <v>23</v>
      </c>
      <c r="D60">
        <v>1.89795685893163</v>
      </c>
      <c r="E60">
        <v>0.75573767553773996</v>
      </c>
      <c r="F60">
        <v>3.04017604232553</v>
      </c>
      <c r="G60">
        <v>1357.88970709711</v>
      </c>
      <c r="H60">
        <v>1451.6245317448099</v>
      </c>
      <c r="I60" t="s">
        <v>63</v>
      </c>
      <c r="J60" t="s">
        <v>12</v>
      </c>
      <c r="K60" t="s">
        <v>13</v>
      </c>
      <c r="L60" s="4" t="str">
        <f t="shared" si="0"/>
        <v>1.90[0.76,3.04]</v>
      </c>
    </row>
    <row r="61" spans="1:12" x14ac:dyDescent="0.25">
      <c r="A61">
        <v>60</v>
      </c>
      <c r="B61" t="s">
        <v>74</v>
      </c>
      <c r="C61" t="s">
        <v>24</v>
      </c>
      <c r="D61">
        <v>-1.4120425357952799</v>
      </c>
      <c r="E61">
        <v>-2.2289433178297702</v>
      </c>
      <c r="F61">
        <v>-0.59514175376079703</v>
      </c>
      <c r="G61">
        <v>1357.88970709711</v>
      </c>
      <c r="H61">
        <v>1451.6245317448099</v>
      </c>
      <c r="I61" t="s">
        <v>63</v>
      </c>
      <c r="J61" t="s">
        <v>12</v>
      </c>
      <c r="K61" t="s">
        <v>13</v>
      </c>
      <c r="L61" s="4" t="str">
        <f t="shared" si="0"/>
        <v>-1.41[-2.23,-0.60]</v>
      </c>
    </row>
    <row r="62" spans="1:12" x14ac:dyDescent="0.25">
      <c r="A62">
        <v>61</v>
      </c>
      <c r="B62" t="s">
        <v>75</v>
      </c>
      <c r="C62" t="s">
        <v>25</v>
      </c>
      <c r="D62">
        <v>-6.2886378189050907E-2</v>
      </c>
      <c r="E62">
        <v>-0.475351122614384</v>
      </c>
      <c r="F62">
        <v>0.34957836623628202</v>
      </c>
      <c r="G62">
        <v>1357.88970709711</v>
      </c>
      <c r="H62">
        <v>1451.6245317448099</v>
      </c>
      <c r="I62" t="s">
        <v>63</v>
      </c>
      <c r="J62" t="s">
        <v>12</v>
      </c>
      <c r="K62" t="s">
        <v>13</v>
      </c>
      <c r="L62" s="4" t="str">
        <f t="shared" si="0"/>
        <v>-0.06[-0.48,0.35]</v>
      </c>
    </row>
    <row r="63" spans="1:12" x14ac:dyDescent="0.25">
      <c r="A63">
        <v>62</v>
      </c>
      <c r="B63" t="s">
        <v>76</v>
      </c>
      <c r="C63" t="s">
        <v>26</v>
      </c>
      <c r="D63">
        <v>-0.36861131557198101</v>
      </c>
      <c r="E63">
        <v>-0.72297293120000605</v>
      </c>
      <c r="F63">
        <v>-1.4249699943956501E-2</v>
      </c>
      <c r="G63">
        <v>1357.88970709711</v>
      </c>
      <c r="H63">
        <v>1451.6245317448099</v>
      </c>
      <c r="I63" t="s">
        <v>63</v>
      </c>
      <c r="J63" t="s">
        <v>12</v>
      </c>
      <c r="K63" t="s">
        <v>13</v>
      </c>
      <c r="L63" s="4" t="str">
        <f t="shared" si="0"/>
        <v>-0.37[-0.72,-0.01]</v>
      </c>
    </row>
    <row r="64" spans="1:12" x14ac:dyDescent="0.25">
      <c r="A64">
        <v>63</v>
      </c>
      <c r="B64" t="s">
        <v>77</v>
      </c>
      <c r="C64" t="s">
        <v>27</v>
      </c>
      <c r="D64">
        <v>-0.55871713197959805</v>
      </c>
      <c r="E64">
        <v>-0.94943455101605101</v>
      </c>
      <c r="F64">
        <v>-0.167999712943145</v>
      </c>
      <c r="G64">
        <v>1357.88970709711</v>
      </c>
      <c r="H64">
        <v>1451.6245317448099</v>
      </c>
      <c r="I64" t="s">
        <v>63</v>
      </c>
      <c r="J64" t="s">
        <v>12</v>
      </c>
      <c r="K64" t="s">
        <v>13</v>
      </c>
      <c r="L64" s="4" t="str">
        <f t="shared" si="0"/>
        <v>-0.56[-0.95,-0.17]</v>
      </c>
    </row>
    <row r="65" spans="1:12" x14ac:dyDescent="0.25">
      <c r="A65">
        <v>64</v>
      </c>
      <c r="B65" t="s">
        <v>78</v>
      </c>
      <c r="C65" t="s">
        <v>28</v>
      </c>
      <c r="D65">
        <v>-0.31437559247353403</v>
      </c>
      <c r="E65">
        <v>-0.67210660685369294</v>
      </c>
      <c r="F65">
        <v>4.3355421906623802E-2</v>
      </c>
      <c r="G65">
        <v>1357.88970709711</v>
      </c>
      <c r="H65">
        <v>1451.6245317448099</v>
      </c>
      <c r="I65" t="s">
        <v>63</v>
      </c>
      <c r="J65" t="s">
        <v>12</v>
      </c>
      <c r="K65" t="s">
        <v>13</v>
      </c>
      <c r="L65" s="4" t="str">
        <f t="shared" si="0"/>
        <v>-0.31[-0.67,0.04]</v>
      </c>
    </row>
    <row r="66" spans="1:12" x14ac:dyDescent="0.25">
      <c r="A66">
        <v>65</v>
      </c>
      <c r="B66" t="s">
        <v>79</v>
      </c>
      <c r="C66" t="s">
        <v>29</v>
      </c>
      <c r="D66">
        <v>-0.95700043095484799</v>
      </c>
      <c r="E66">
        <v>-1.4324433322455099</v>
      </c>
      <c r="F66">
        <v>-0.48155752966418203</v>
      </c>
      <c r="G66">
        <v>1357.88970709711</v>
      </c>
      <c r="H66">
        <v>1451.6245317448099</v>
      </c>
      <c r="I66" t="s">
        <v>63</v>
      </c>
      <c r="J66" t="s">
        <v>12</v>
      </c>
      <c r="K66" t="s">
        <v>13</v>
      </c>
      <c r="L66" s="4" t="str">
        <f t="shared" si="0"/>
        <v>-0.96[-1.43,-0.48]</v>
      </c>
    </row>
    <row r="67" spans="1:12" x14ac:dyDescent="0.25">
      <c r="A67">
        <v>66</v>
      </c>
      <c r="B67" t="s">
        <v>80</v>
      </c>
      <c r="C67" t="s">
        <v>30</v>
      </c>
      <c r="D67">
        <v>-1.37833084017476</v>
      </c>
      <c r="E67">
        <v>-3.53522580079937</v>
      </c>
      <c r="F67">
        <v>0.77856412044985301</v>
      </c>
      <c r="G67">
        <v>1357.88970709711</v>
      </c>
      <c r="H67">
        <v>1451.6245317448099</v>
      </c>
      <c r="I67" t="s">
        <v>63</v>
      </c>
      <c r="J67" t="s">
        <v>12</v>
      </c>
      <c r="K67" t="s">
        <v>13</v>
      </c>
      <c r="L67" s="4" t="str">
        <f t="shared" ref="L67:L130" si="1">TEXT(ROUND(D67,2),"0.00") &amp; "[" &amp; TEXT(ROUND(E67,2),"0.00") &amp; "," &amp; TEXT(ROUND(F67,2),"0.00") &amp; "]"</f>
        <v>-1.38[-3.54,0.78]</v>
      </c>
    </row>
    <row r="68" spans="1:12" x14ac:dyDescent="0.25">
      <c r="A68">
        <v>67</v>
      </c>
      <c r="B68" t="s">
        <v>81</v>
      </c>
      <c r="C68" t="s">
        <v>31</v>
      </c>
      <c r="D68">
        <v>0.22654440599984699</v>
      </c>
      <c r="E68">
        <v>-1.88220751287358</v>
      </c>
      <c r="F68">
        <v>2.3352963248732799</v>
      </c>
      <c r="G68">
        <v>1357.88970709711</v>
      </c>
      <c r="H68">
        <v>1451.6245317448099</v>
      </c>
      <c r="I68" t="s">
        <v>63</v>
      </c>
      <c r="J68" t="s">
        <v>12</v>
      </c>
      <c r="K68" t="s">
        <v>13</v>
      </c>
      <c r="L68" s="4" t="str">
        <f t="shared" si="1"/>
        <v>0.23[-1.88,2.34]</v>
      </c>
    </row>
    <row r="69" spans="1:12" x14ac:dyDescent="0.25">
      <c r="A69">
        <v>68</v>
      </c>
      <c r="B69" t="s">
        <v>82</v>
      </c>
      <c r="C69" t="s">
        <v>32</v>
      </c>
      <c r="D69">
        <v>-1.1508145121517801</v>
      </c>
      <c r="E69">
        <v>-1.8416835487370999</v>
      </c>
      <c r="F69">
        <v>-0.45994547556645299</v>
      </c>
      <c r="G69">
        <v>1357.88970709711</v>
      </c>
      <c r="H69">
        <v>1451.6245317448099</v>
      </c>
      <c r="I69" t="s">
        <v>63</v>
      </c>
      <c r="J69" t="s">
        <v>12</v>
      </c>
      <c r="K69" t="s">
        <v>13</v>
      </c>
      <c r="L69" s="4" t="str">
        <f t="shared" si="1"/>
        <v>-1.15[-1.84,-0.46]</v>
      </c>
    </row>
    <row r="70" spans="1:12" x14ac:dyDescent="0.25">
      <c r="A70">
        <v>69</v>
      </c>
      <c r="B70" t="s">
        <v>83</v>
      </c>
      <c r="C70" t="s">
        <v>33</v>
      </c>
      <c r="D70">
        <v>0.38588765574456801</v>
      </c>
      <c r="E70">
        <v>-0.395380548191056</v>
      </c>
      <c r="F70">
        <v>1.1671558596801901</v>
      </c>
      <c r="G70">
        <v>1357.88970709711</v>
      </c>
      <c r="H70">
        <v>1451.6245317448099</v>
      </c>
      <c r="I70" t="s">
        <v>63</v>
      </c>
      <c r="J70" t="s">
        <v>12</v>
      </c>
      <c r="K70" t="s">
        <v>13</v>
      </c>
      <c r="L70" s="4" t="str">
        <f t="shared" si="1"/>
        <v>0.39[-0.40,1.17]</v>
      </c>
    </row>
    <row r="71" spans="1:12" x14ac:dyDescent="0.25">
      <c r="A71">
        <v>70</v>
      </c>
      <c r="B71" t="s">
        <v>84</v>
      </c>
      <c r="C71" t="s">
        <v>34</v>
      </c>
      <c r="D71">
        <v>-0.59663599103548404</v>
      </c>
      <c r="E71">
        <v>-1.0620483751949199</v>
      </c>
      <c r="F71">
        <v>-0.13122360687605</v>
      </c>
      <c r="G71">
        <v>1357.88970709711</v>
      </c>
      <c r="H71">
        <v>1451.6245317448099</v>
      </c>
      <c r="I71" t="s">
        <v>63</v>
      </c>
      <c r="J71" t="s">
        <v>12</v>
      </c>
      <c r="K71" t="s">
        <v>13</v>
      </c>
      <c r="L71" s="4" t="str">
        <f t="shared" si="1"/>
        <v>-0.60[-1.06,-0.13]</v>
      </c>
    </row>
    <row r="72" spans="1:12" x14ac:dyDescent="0.25">
      <c r="A72">
        <v>71</v>
      </c>
      <c r="B72" t="s">
        <v>85</v>
      </c>
      <c r="C72" t="s">
        <v>35</v>
      </c>
      <c r="D72">
        <v>-0.18780684673121401</v>
      </c>
      <c r="E72">
        <v>-0.65063792712423996</v>
      </c>
      <c r="F72">
        <v>0.275024233661812</v>
      </c>
      <c r="G72">
        <v>1357.88970709711</v>
      </c>
      <c r="H72">
        <v>1451.6245317448099</v>
      </c>
      <c r="I72" t="s">
        <v>63</v>
      </c>
      <c r="J72" t="s">
        <v>12</v>
      </c>
      <c r="K72" t="s">
        <v>13</v>
      </c>
      <c r="L72" s="4" t="str">
        <f t="shared" si="1"/>
        <v>-0.19[-0.65,0.28]</v>
      </c>
    </row>
    <row r="73" spans="1:12" x14ac:dyDescent="0.25">
      <c r="A73">
        <v>72</v>
      </c>
      <c r="B73" t="s">
        <v>86</v>
      </c>
      <c r="C73" t="s">
        <v>36</v>
      </c>
      <c r="D73">
        <v>-0.81006566393178903</v>
      </c>
      <c r="E73">
        <v>-1.2290328422416099</v>
      </c>
      <c r="F73">
        <v>-0.39109848562196903</v>
      </c>
      <c r="G73">
        <v>1357.88970709711</v>
      </c>
      <c r="H73">
        <v>1451.6245317448099</v>
      </c>
      <c r="I73" t="s">
        <v>63</v>
      </c>
      <c r="J73" t="s">
        <v>12</v>
      </c>
      <c r="K73" t="s">
        <v>13</v>
      </c>
      <c r="L73" s="4" t="str">
        <f t="shared" si="1"/>
        <v>-0.81[-1.23,-0.39]</v>
      </c>
    </row>
    <row r="74" spans="1:12" x14ac:dyDescent="0.25">
      <c r="A74">
        <v>73</v>
      </c>
      <c r="B74">
        <v>1</v>
      </c>
      <c r="C74" t="s">
        <v>10</v>
      </c>
      <c r="D74">
        <v>82.653839443203196</v>
      </c>
      <c r="E74">
        <v>82.268366486838801</v>
      </c>
      <c r="F74">
        <v>83.039312399567606</v>
      </c>
      <c r="G74">
        <v>1245.6421008807299</v>
      </c>
      <c r="H74">
        <v>1343.12631851434</v>
      </c>
      <c r="I74" t="s">
        <v>11</v>
      </c>
      <c r="J74" t="s">
        <v>12</v>
      </c>
      <c r="K74" t="s">
        <v>87</v>
      </c>
      <c r="L74" s="4" t="str">
        <f t="shared" si="1"/>
        <v>82.65[82.27,83.04]</v>
      </c>
    </row>
    <row r="75" spans="1:12" x14ac:dyDescent="0.25">
      <c r="A75">
        <v>74</v>
      </c>
      <c r="B75">
        <v>2</v>
      </c>
      <c r="C75" t="s">
        <v>14</v>
      </c>
      <c r="D75">
        <v>-0.103873415822564</v>
      </c>
      <c r="E75">
        <v>-0.56469384780528498</v>
      </c>
      <c r="F75">
        <v>0.356947016160158</v>
      </c>
      <c r="G75">
        <v>1245.6421008807299</v>
      </c>
      <c r="H75">
        <v>1343.12631851434</v>
      </c>
      <c r="I75" t="s">
        <v>11</v>
      </c>
      <c r="J75" t="s">
        <v>12</v>
      </c>
      <c r="K75" t="s">
        <v>87</v>
      </c>
      <c r="L75" s="4" t="str">
        <f t="shared" si="1"/>
        <v>-0.10[-0.56,0.36]</v>
      </c>
    </row>
    <row r="76" spans="1:12" x14ac:dyDescent="0.25">
      <c r="A76">
        <v>75</v>
      </c>
      <c r="B76">
        <v>3</v>
      </c>
      <c r="C76" t="s">
        <v>15</v>
      </c>
      <c r="D76">
        <v>3.7361524030805303E-2</v>
      </c>
      <c r="E76">
        <v>-1.0000186231902299</v>
      </c>
      <c r="F76">
        <v>1.0747416712518401</v>
      </c>
      <c r="G76">
        <v>1245.6421008807299</v>
      </c>
      <c r="H76">
        <v>1343.12631851434</v>
      </c>
      <c r="I76" t="s">
        <v>11</v>
      </c>
      <c r="J76" t="s">
        <v>12</v>
      </c>
      <c r="K76" t="s">
        <v>87</v>
      </c>
      <c r="L76" s="4" t="str">
        <f t="shared" si="1"/>
        <v>0.04[-1.00,1.07]</v>
      </c>
    </row>
    <row r="77" spans="1:12" x14ac:dyDescent="0.25">
      <c r="A77">
        <v>76</v>
      </c>
      <c r="B77">
        <v>4</v>
      </c>
      <c r="C77" t="s">
        <v>16</v>
      </c>
      <c r="D77">
        <v>-0.74900911453546604</v>
      </c>
      <c r="E77">
        <v>-2.0364899068718501</v>
      </c>
      <c r="F77">
        <v>0.53847167780091898</v>
      </c>
      <c r="G77">
        <v>1245.6421008807299</v>
      </c>
      <c r="H77">
        <v>1343.12631851434</v>
      </c>
      <c r="I77" t="s">
        <v>11</v>
      </c>
      <c r="J77" t="s">
        <v>12</v>
      </c>
      <c r="K77" t="s">
        <v>87</v>
      </c>
      <c r="L77" s="4" t="str">
        <f t="shared" si="1"/>
        <v>-0.75[-2.04,0.54]</v>
      </c>
    </row>
    <row r="78" spans="1:12" x14ac:dyDescent="0.25">
      <c r="A78">
        <v>77</v>
      </c>
      <c r="B78">
        <v>5</v>
      </c>
      <c r="C78" t="s">
        <v>17</v>
      </c>
      <c r="D78">
        <v>-2.6170002564394799</v>
      </c>
      <c r="E78">
        <v>-2.9660744222962898</v>
      </c>
      <c r="F78">
        <v>-2.2679260905826801</v>
      </c>
      <c r="G78">
        <v>1245.6421008807299</v>
      </c>
      <c r="H78">
        <v>1343.12631851434</v>
      </c>
      <c r="I78" t="s">
        <v>11</v>
      </c>
      <c r="J78" t="s">
        <v>12</v>
      </c>
      <c r="K78" t="s">
        <v>87</v>
      </c>
      <c r="L78" s="4" t="str">
        <f t="shared" si="1"/>
        <v>-2.62[-2.97,-2.27]</v>
      </c>
    </row>
    <row r="79" spans="1:12" x14ac:dyDescent="0.25">
      <c r="A79">
        <v>78</v>
      </c>
      <c r="B79">
        <v>6</v>
      </c>
      <c r="C79" t="s">
        <v>18</v>
      </c>
      <c r="D79">
        <v>-0.248774267978187</v>
      </c>
      <c r="E79">
        <v>-0.549220170046408</v>
      </c>
      <c r="F79">
        <v>5.1671634090034203E-2</v>
      </c>
      <c r="G79">
        <v>1245.6421008807299</v>
      </c>
      <c r="H79">
        <v>1343.12631851434</v>
      </c>
      <c r="I79" t="s">
        <v>11</v>
      </c>
      <c r="J79" t="s">
        <v>12</v>
      </c>
      <c r="K79" t="s">
        <v>87</v>
      </c>
      <c r="L79" s="4" t="str">
        <f t="shared" si="1"/>
        <v>-0.25[-0.55,0.05]</v>
      </c>
    </row>
    <row r="80" spans="1:12" x14ac:dyDescent="0.25">
      <c r="A80">
        <v>79</v>
      </c>
      <c r="B80">
        <v>7</v>
      </c>
      <c r="C80" t="s">
        <v>19</v>
      </c>
      <c r="D80">
        <v>-0.44847906983990399</v>
      </c>
      <c r="E80">
        <v>-0.73832536019018302</v>
      </c>
      <c r="F80">
        <v>-0.15863277948962501</v>
      </c>
      <c r="G80">
        <v>1245.6421008807299</v>
      </c>
      <c r="H80">
        <v>1343.12631851434</v>
      </c>
      <c r="I80" t="s">
        <v>11</v>
      </c>
      <c r="J80" t="s">
        <v>12</v>
      </c>
      <c r="K80" t="s">
        <v>87</v>
      </c>
      <c r="L80" s="4" t="str">
        <f t="shared" si="1"/>
        <v>-0.45[-0.74,-0.16]</v>
      </c>
    </row>
    <row r="81" spans="1:12" x14ac:dyDescent="0.25">
      <c r="A81">
        <v>80</v>
      </c>
      <c r="B81">
        <v>8</v>
      </c>
      <c r="C81" t="s">
        <v>20</v>
      </c>
      <c r="D81">
        <v>-0.81217667051004605</v>
      </c>
      <c r="E81">
        <v>-1.2371780198976501</v>
      </c>
      <c r="F81">
        <v>-0.38717532112244002</v>
      </c>
      <c r="G81">
        <v>1245.6421008807299</v>
      </c>
      <c r="H81">
        <v>1343.12631851434</v>
      </c>
      <c r="I81" t="s">
        <v>11</v>
      </c>
      <c r="J81" t="s">
        <v>12</v>
      </c>
      <c r="K81" t="s">
        <v>87</v>
      </c>
      <c r="L81" s="4" t="str">
        <f t="shared" si="1"/>
        <v>-0.81[-1.24,-0.39]</v>
      </c>
    </row>
    <row r="82" spans="1:12" x14ac:dyDescent="0.25">
      <c r="A82">
        <v>81</v>
      </c>
      <c r="B82">
        <v>9</v>
      </c>
      <c r="C82" t="s">
        <v>21</v>
      </c>
      <c r="D82">
        <v>-2.7070938453336E-2</v>
      </c>
      <c r="E82">
        <v>-0.43265473106102698</v>
      </c>
      <c r="F82">
        <v>0.37851285415435498</v>
      </c>
      <c r="G82">
        <v>1245.6421008807299</v>
      </c>
      <c r="H82">
        <v>1343.12631851434</v>
      </c>
      <c r="I82" t="s">
        <v>11</v>
      </c>
      <c r="J82" t="s">
        <v>12</v>
      </c>
      <c r="K82" t="s">
        <v>87</v>
      </c>
      <c r="L82" s="4" t="str">
        <f t="shared" si="1"/>
        <v>-0.03[-0.43,0.38]</v>
      </c>
    </row>
    <row r="83" spans="1:12" x14ac:dyDescent="0.25">
      <c r="A83">
        <v>82</v>
      </c>
      <c r="B83">
        <v>10</v>
      </c>
      <c r="C83" t="s">
        <v>22</v>
      </c>
      <c r="D83">
        <v>0.25701592362929099</v>
      </c>
      <c r="E83">
        <v>-1.1818040044048601</v>
      </c>
      <c r="F83">
        <v>1.69583585166344</v>
      </c>
      <c r="G83">
        <v>1245.6421008807299</v>
      </c>
      <c r="H83">
        <v>1343.12631851434</v>
      </c>
      <c r="I83" t="s">
        <v>11</v>
      </c>
      <c r="J83" t="s">
        <v>12</v>
      </c>
      <c r="K83" t="s">
        <v>87</v>
      </c>
      <c r="L83" s="4" t="str">
        <f t="shared" si="1"/>
        <v>0.26[-1.18,1.70]</v>
      </c>
    </row>
    <row r="84" spans="1:12" x14ac:dyDescent="0.25">
      <c r="A84">
        <v>83</v>
      </c>
      <c r="B84">
        <v>11</v>
      </c>
      <c r="C84" t="s">
        <v>23</v>
      </c>
      <c r="D84">
        <v>0.67449329621866505</v>
      </c>
      <c r="E84">
        <v>-0.23910582490815599</v>
      </c>
      <c r="F84">
        <v>1.58809241734549</v>
      </c>
      <c r="G84">
        <v>1245.6421008807299</v>
      </c>
      <c r="H84">
        <v>1343.12631851434</v>
      </c>
      <c r="I84" t="s">
        <v>11</v>
      </c>
      <c r="J84" t="s">
        <v>12</v>
      </c>
      <c r="K84" t="s">
        <v>87</v>
      </c>
      <c r="L84" s="4" t="str">
        <f t="shared" si="1"/>
        <v>0.67[-0.24,1.59]</v>
      </c>
    </row>
    <row r="85" spans="1:12" x14ac:dyDescent="0.25">
      <c r="A85">
        <v>84</v>
      </c>
      <c r="B85">
        <v>12</v>
      </c>
      <c r="C85" t="s">
        <v>24</v>
      </c>
      <c r="D85">
        <v>-1.2665991181976299</v>
      </c>
      <c r="E85">
        <v>-1.92962950983863</v>
      </c>
      <c r="F85">
        <v>-0.60356872655662097</v>
      </c>
      <c r="G85">
        <v>1245.6421008807299</v>
      </c>
      <c r="H85">
        <v>1343.12631851434</v>
      </c>
      <c r="I85" t="s">
        <v>11</v>
      </c>
      <c r="J85" t="s">
        <v>12</v>
      </c>
      <c r="K85" t="s">
        <v>87</v>
      </c>
      <c r="L85" s="4" t="str">
        <f t="shared" si="1"/>
        <v>-1.27[-1.93,-0.60]</v>
      </c>
    </row>
    <row r="86" spans="1:12" x14ac:dyDescent="0.25">
      <c r="A86">
        <v>85</v>
      </c>
      <c r="B86">
        <v>13</v>
      </c>
      <c r="C86" t="s">
        <v>25</v>
      </c>
      <c r="D86">
        <v>-0.261039674965581</v>
      </c>
      <c r="E86">
        <v>-0.58888665239730797</v>
      </c>
      <c r="F86">
        <v>6.6807302466145899E-2</v>
      </c>
      <c r="G86">
        <v>1245.6421008807299</v>
      </c>
      <c r="H86">
        <v>1343.12631851434</v>
      </c>
      <c r="I86" t="s">
        <v>11</v>
      </c>
      <c r="J86" t="s">
        <v>12</v>
      </c>
      <c r="K86" t="s">
        <v>87</v>
      </c>
      <c r="L86" s="4" t="str">
        <f t="shared" si="1"/>
        <v>-0.26[-0.59,0.07]</v>
      </c>
    </row>
    <row r="87" spans="1:12" x14ac:dyDescent="0.25">
      <c r="A87">
        <v>86</v>
      </c>
      <c r="B87">
        <v>14</v>
      </c>
      <c r="C87" t="s">
        <v>26</v>
      </c>
      <c r="D87">
        <v>-0.28860390912961797</v>
      </c>
      <c r="E87">
        <v>-0.75468239258834602</v>
      </c>
      <c r="F87">
        <v>0.17747457432911001</v>
      </c>
      <c r="G87">
        <v>1245.6421008807299</v>
      </c>
      <c r="H87">
        <v>1343.12631851434</v>
      </c>
      <c r="I87" t="s">
        <v>11</v>
      </c>
      <c r="J87" t="s">
        <v>12</v>
      </c>
      <c r="K87" t="s">
        <v>87</v>
      </c>
      <c r="L87" s="4" t="str">
        <f t="shared" si="1"/>
        <v>-0.29[-0.75,0.18]</v>
      </c>
    </row>
    <row r="88" spans="1:12" x14ac:dyDescent="0.25">
      <c r="A88">
        <v>87</v>
      </c>
      <c r="B88">
        <v>15</v>
      </c>
      <c r="C88" t="s">
        <v>27</v>
      </c>
      <c r="D88">
        <v>-0.37596185822744099</v>
      </c>
      <c r="E88">
        <v>-0.68212139611314804</v>
      </c>
      <c r="F88">
        <v>-6.9802320341734905E-2</v>
      </c>
      <c r="G88">
        <v>1245.6421008807299</v>
      </c>
      <c r="H88">
        <v>1343.12631851434</v>
      </c>
      <c r="I88" t="s">
        <v>11</v>
      </c>
      <c r="J88" t="s">
        <v>12</v>
      </c>
      <c r="K88" t="s">
        <v>87</v>
      </c>
      <c r="L88" s="4" t="str">
        <f t="shared" si="1"/>
        <v>-0.38[-0.68,-0.07]</v>
      </c>
    </row>
    <row r="89" spans="1:12" x14ac:dyDescent="0.25">
      <c r="A89">
        <v>88</v>
      </c>
      <c r="B89">
        <v>16</v>
      </c>
      <c r="C89" t="s">
        <v>28</v>
      </c>
      <c r="D89">
        <v>-0.25228123243571698</v>
      </c>
      <c r="E89">
        <v>-0.53409731787695303</v>
      </c>
      <c r="F89">
        <v>2.95348530055187E-2</v>
      </c>
      <c r="G89">
        <v>1245.6421008807299</v>
      </c>
      <c r="H89">
        <v>1343.12631851434</v>
      </c>
      <c r="I89" t="s">
        <v>11</v>
      </c>
      <c r="J89" t="s">
        <v>12</v>
      </c>
      <c r="K89" t="s">
        <v>87</v>
      </c>
      <c r="L89" s="4" t="str">
        <f t="shared" si="1"/>
        <v>-0.25[-0.53,0.03]</v>
      </c>
    </row>
    <row r="90" spans="1:12" x14ac:dyDescent="0.25">
      <c r="A90">
        <v>89</v>
      </c>
      <c r="B90">
        <v>17</v>
      </c>
      <c r="C90" t="s">
        <v>29</v>
      </c>
      <c r="D90">
        <v>-0.54945815376088603</v>
      </c>
      <c r="E90">
        <v>-0.93874642827753996</v>
      </c>
      <c r="F90">
        <v>-0.16016987924423201</v>
      </c>
      <c r="G90">
        <v>1245.6421008807299</v>
      </c>
      <c r="H90">
        <v>1343.12631851434</v>
      </c>
      <c r="I90" t="s">
        <v>11</v>
      </c>
      <c r="J90" t="s">
        <v>12</v>
      </c>
      <c r="K90" t="s">
        <v>87</v>
      </c>
      <c r="L90" s="4" t="str">
        <f t="shared" si="1"/>
        <v>-0.55[-0.94,-0.16]</v>
      </c>
    </row>
    <row r="91" spans="1:12" x14ac:dyDescent="0.25">
      <c r="A91">
        <v>90</v>
      </c>
      <c r="B91">
        <v>18</v>
      </c>
      <c r="C91" t="s">
        <v>30</v>
      </c>
      <c r="D91">
        <v>-1.5529697860040399</v>
      </c>
      <c r="E91">
        <v>-3.2487477198341099</v>
      </c>
      <c r="F91">
        <v>0.14280814782603701</v>
      </c>
      <c r="G91">
        <v>1245.6421008807299</v>
      </c>
      <c r="H91">
        <v>1343.12631851434</v>
      </c>
      <c r="I91" t="s">
        <v>11</v>
      </c>
      <c r="J91" t="s">
        <v>12</v>
      </c>
      <c r="K91" t="s">
        <v>87</v>
      </c>
      <c r="L91" s="4" t="str">
        <f t="shared" si="1"/>
        <v>-1.55[-3.25,0.14]</v>
      </c>
    </row>
    <row r="92" spans="1:12" x14ac:dyDescent="0.25">
      <c r="A92">
        <v>91</v>
      </c>
      <c r="B92">
        <v>19</v>
      </c>
      <c r="C92" t="s">
        <v>31</v>
      </c>
      <c r="D92">
        <v>1.4331816962763699</v>
      </c>
      <c r="E92">
        <v>-0.21791319800872699</v>
      </c>
      <c r="F92">
        <v>3.0842765905614602</v>
      </c>
      <c r="G92">
        <v>1245.6421008807299</v>
      </c>
      <c r="H92">
        <v>1343.12631851434</v>
      </c>
      <c r="I92" t="s">
        <v>11</v>
      </c>
      <c r="J92" t="s">
        <v>12</v>
      </c>
      <c r="K92" t="s">
        <v>87</v>
      </c>
      <c r="L92" s="4" t="str">
        <f t="shared" si="1"/>
        <v>1.43[-0.22,3.08]</v>
      </c>
    </row>
    <row r="93" spans="1:12" x14ac:dyDescent="0.25">
      <c r="A93">
        <v>92</v>
      </c>
      <c r="B93">
        <v>20</v>
      </c>
      <c r="C93" t="s">
        <v>32</v>
      </c>
      <c r="D93">
        <v>-0.62532528380928099</v>
      </c>
      <c r="E93">
        <v>-1.1789752202514701</v>
      </c>
      <c r="F93">
        <v>-7.1675347367090095E-2</v>
      </c>
      <c r="G93">
        <v>1245.6421008807299</v>
      </c>
      <c r="H93">
        <v>1343.12631851434</v>
      </c>
      <c r="I93" t="s">
        <v>11</v>
      </c>
      <c r="J93" t="s">
        <v>12</v>
      </c>
      <c r="K93" t="s">
        <v>87</v>
      </c>
      <c r="L93" s="4" t="str">
        <f t="shared" si="1"/>
        <v>-0.63[-1.18,-0.07]</v>
      </c>
    </row>
    <row r="94" spans="1:12" x14ac:dyDescent="0.25">
      <c r="A94">
        <v>93</v>
      </c>
      <c r="B94">
        <v>21</v>
      </c>
      <c r="C94" t="s">
        <v>33</v>
      </c>
      <c r="D94">
        <v>-0.333373172462472</v>
      </c>
      <c r="E94">
        <v>-0.95369925968768798</v>
      </c>
      <c r="F94">
        <v>0.28695291476274398</v>
      </c>
      <c r="G94">
        <v>1245.6421008807299</v>
      </c>
      <c r="H94">
        <v>1343.12631851434</v>
      </c>
      <c r="I94" t="s">
        <v>11</v>
      </c>
      <c r="J94" t="s">
        <v>12</v>
      </c>
      <c r="K94" t="s">
        <v>87</v>
      </c>
      <c r="L94" s="4" t="str">
        <f t="shared" si="1"/>
        <v>-0.33[-0.95,0.29]</v>
      </c>
    </row>
    <row r="95" spans="1:12" x14ac:dyDescent="0.25">
      <c r="A95">
        <v>94</v>
      </c>
      <c r="B95">
        <v>22</v>
      </c>
      <c r="C95" t="s">
        <v>34</v>
      </c>
      <c r="D95">
        <v>-0.33505542515711401</v>
      </c>
      <c r="E95">
        <v>-0.706205107896692</v>
      </c>
      <c r="F95">
        <v>3.6094257582463797E-2</v>
      </c>
      <c r="G95">
        <v>1245.6421008807299</v>
      </c>
      <c r="H95">
        <v>1343.12631851434</v>
      </c>
      <c r="I95" t="s">
        <v>11</v>
      </c>
      <c r="J95" t="s">
        <v>12</v>
      </c>
      <c r="K95" t="s">
        <v>87</v>
      </c>
      <c r="L95" s="4" t="str">
        <f t="shared" si="1"/>
        <v>-0.34[-0.71,0.04]</v>
      </c>
    </row>
    <row r="96" spans="1:12" x14ac:dyDescent="0.25">
      <c r="A96">
        <v>95</v>
      </c>
      <c r="B96">
        <v>23</v>
      </c>
      <c r="C96" t="s">
        <v>35</v>
      </c>
      <c r="D96">
        <v>-0.163411366409728</v>
      </c>
      <c r="E96">
        <v>-0.53185716816484396</v>
      </c>
      <c r="F96">
        <v>0.20503443534538801</v>
      </c>
      <c r="G96">
        <v>1245.6421008807299</v>
      </c>
      <c r="H96">
        <v>1343.12631851434</v>
      </c>
      <c r="I96" t="s">
        <v>11</v>
      </c>
      <c r="J96" t="s">
        <v>12</v>
      </c>
      <c r="K96" t="s">
        <v>87</v>
      </c>
      <c r="L96" s="4" t="str">
        <f t="shared" si="1"/>
        <v>-0.16[-0.53,0.21]</v>
      </c>
    </row>
    <row r="97" spans="1:12" x14ac:dyDescent="0.25">
      <c r="A97">
        <v>96</v>
      </c>
      <c r="B97">
        <v>24</v>
      </c>
      <c r="C97" t="s">
        <v>36</v>
      </c>
      <c r="D97">
        <v>-0.44782422705582497</v>
      </c>
      <c r="E97">
        <v>-0.78709278600157495</v>
      </c>
      <c r="F97">
        <v>-0.108555668110074</v>
      </c>
      <c r="G97">
        <v>1245.6421008807299</v>
      </c>
      <c r="H97">
        <v>1343.12631851434</v>
      </c>
      <c r="I97" t="s">
        <v>11</v>
      </c>
      <c r="J97" t="s">
        <v>12</v>
      </c>
      <c r="K97" t="s">
        <v>87</v>
      </c>
      <c r="L97" s="4" t="str">
        <f t="shared" si="1"/>
        <v>-0.45[-0.79,-0.11]</v>
      </c>
    </row>
    <row r="98" spans="1:12" x14ac:dyDescent="0.25">
      <c r="A98">
        <v>97</v>
      </c>
      <c r="B98">
        <v>25</v>
      </c>
      <c r="C98" t="s">
        <v>10</v>
      </c>
      <c r="D98">
        <v>79.322674391738104</v>
      </c>
      <c r="E98">
        <v>78.932623419701102</v>
      </c>
      <c r="F98">
        <v>79.712725363775206</v>
      </c>
      <c r="G98">
        <v>1259.7608630913301</v>
      </c>
      <c r="H98">
        <v>1357.24508072494</v>
      </c>
      <c r="I98" t="s">
        <v>38</v>
      </c>
      <c r="J98" t="s">
        <v>12</v>
      </c>
      <c r="K98" t="s">
        <v>87</v>
      </c>
      <c r="L98" s="4" t="str">
        <f t="shared" si="1"/>
        <v>79.32[78.93,79.71]</v>
      </c>
    </row>
    <row r="99" spans="1:12" x14ac:dyDescent="0.25">
      <c r="A99">
        <v>98</v>
      </c>
      <c r="B99">
        <v>26</v>
      </c>
      <c r="C99" t="s">
        <v>14</v>
      </c>
      <c r="D99">
        <v>-0.21748386345632001</v>
      </c>
      <c r="E99">
        <v>-0.68885814056797301</v>
      </c>
      <c r="F99">
        <v>0.25389041365533399</v>
      </c>
      <c r="G99">
        <v>1259.7608630913301</v>
      </c>
      <c r="H99">
        <v>1357.24508072494</v>
      </c>
      <c r="I99" t="s">
        <v>38</v>
      </c>
      <c r="J99" t="s">
        <v>12</v>
      </c>
      <c r="K99" t="s">
        <v>87</v>
      </c>
      <c r="L99" s="4" t="str">
        <f t="shared" si="1"/>
        <v>-0.22[-0.69,0.25]</v>
      </c>
    </row>
    <row r="100" spans="1:12" x14ac:dyDescent="0.25">
      <c r="A100">
        <v>99</v>
      </c>
      <c r="B100">
        <v>27</v>
      </c>
      <c r="C100" t="s">
        <v>15</v>
      </c>
      <c r="D100">
        <v>9.9690845913248199E-2</v>
      </c>
      <c r="E100">
        <v>-0.96221555486084498</v>
      </c>
      <c r="F100">
        <v>1.1615972466873401</v>
      </c>
      <c r="G100">
        <v>1259.7608630913301</v>
      </c>
      <c r="H100">
        <v>1357.24508072494</v>
      </c>
      <c r="I100" t="s">
        <v>38</v>
      </c>
      <c r="J100" t="s">
        <v>12</v>
      </c>
      <c r="K100" t="s">
        <v>87</v>
      </c>
      <c r="L100" s="4" t="str">
        <f t="shared" si="1"/>
        <v>0.10[-0.96,1.16]</v>
      </c>
    </row>
    <row r="101" spans="1:12" x14ac:dyDescent="0.25">
      <c r="A101">
        <v>100</v>
      </c>
      <c r="B101">
        <v>28</v>
      </c>
      <c r="C101" t="s">
        <v>16</v>
      </c>
      <c r="D101">
        <v>-0.74638674597193999</v>
      </c>
      <c r="E101">
        <v>-2.0623130550402302</v>
      </c>
      <c r="F101">
        <v>0.56953956309634901</v>
      </c>
      <c r="G101">
        <v>1259.7608630913301</v>
      </c>
      <c r="H101">
        <v>1357.24508072494</v>
      </c>
      <c r="I101" t="s">
        <v>38</v>
      </c>
      <c r="J101" t="s">
        <v>12</v>
      </c>
      <c r="K101" t="s">
        <v>87</v>
      </c>
      <c r="L101" s="4" t="str">
        <f t="shared" si="1"/>
        <v>-0.75[-2.06,0.57]</v>
      </c>
    </row>
    <row r="102" spans="1:12" x14ac:dyDescent="0.25">
      <c r="A102">
        <v>101</v>
      </c>
      <c r="B102">
        <v>29</v>
      </c>
      <c r="C102" t="s">
        <v>17</v>
      </c>
      <c r="D102">
        <v>-2.6490267822641198</v>
      </c>
      <c r="E102">
        <v>-3.0063119636430198</v>
      </c>
      <c r="F102">
        <v>-2.2917416008852101</v>
      </c>
      <c r="G102">
        <v>1259.7608630913301</v>
      </c>
      <c r="H102">
        <v>1357.24508072494</v>
      </c>
      <c r="I102" t="s">
        <v>38</v>
      </c>
      <c r="J102" t="s">
        <v>12</v>
      </c>
      <c r="K102" t="s">
        <v>87</v>
      </c>
      <c r="L102" s="4" t="str">
        <f t="shared" si="1"/>
        <v>-2.65[-3.01,-2.29]</v>
      </c>
    </row>
    <row r="103" spans="1:12" x14ac:dyDescent="0.25">
      <c r="A103">
        <v>102</v>
      </c>
      <c r="B103">
        <v>30</v>
      </c>
      <c r="C103" t="s">
        <v>18</v>
      </c>
      <c r="D103">
        <v>-0.24975285252418999</v>
      </c>
      <c r="E103">
        <v>-0.55776582679507603</v>
      </c>
      <c r="F103">
        <v>5.8260121746695301E-2</v>
      </c>
      <c r="G103">
        <v>1259.7608630913301</v>
      </c>
      <c r="H103">
        <v>1357.24508072494</v>
      </c>
      <c r="I103" t="s">
        <v>38</v>
      </c>
      <c r="J103" t="s">
        <v>12</v>
      </c>
      <c r="K103" t="s">
        <v>87</v>
      </c>
      <c r="L103" s="4" t="str">
        <f t="shared" si="1"/>
        <v>-0.25[-0.56,0.06]</v>
      </c>
    </row>
    <row r="104" spans="1:12" x14ac:dyDescent="0.25">
      <c r="A104">
        <v>103</v>
      </c>
      <c r="B104">
        <v>31</v>
      </c>
      <c r="C104" t="s">
        <v>19</v>
      </c>
      <c r="D104">
        <v>-0.54613511487372501</v>
      </c>
      <c r="E104">
        <v>-0.84309304617644298</v>
      </c>
      <c r="F104">
        <v>-0.24917718357100599</v>
      </c>
      <c r="G104">
        <v>1259.7608630913301</v>
      </c>
      <c r="H104">
        <v>1357.24508072494</v>
      </c>
      <c r="I104" t="s">
        <v>38</v>
      </c>
      <c r="J104" t="s">
        <v>12</v>
      </c>
      <c r="K104" t="s">
        <v>87</v>
      </c>
      <c r="L104" s="4" t="str">
        <f t="shared" si="1"/>
        <v>-0.55[-0.84,-0.25]</v>
      </c>
    </row>
    <row r="105" spans="1:12" x14ac:dyDescent="0.25">
      <c r="A105">
        <v>104</v>
      </c>
      <c r="B105">
        <v>32</v>
      </c>
      <c r="C105" t="s">
        <v>20</v>
      </c>
      <c r="D105">
        <v>-0.73661294373500596</v>
      </c>
      <c r="E105">
        <v>-1.1717041459817401</v>
      </c>
      <c r="F105">
        <v>-0.30152174148827099</v>
      </c>
      <c r="G105">
        <v>1259.7608630913301</v>
      </c>
      <c r="H105">
        <v>1357.24508072494</v>
      </c>
      <c r="I105" t="s">
        <v>38</v>
      </c>
      <c r="J105" t="s">
        <v>12</v>
      </c>
      <c r="K105" t="s">
        <v>87</v>
      </c>
      <c r="L105" s="4" t="str">
        <f t="shared" si="1"/>
        <v>-0.74[-1.17,-0.30]</v>
      </c>
    </row>
    <row r="106" spans="1:12" x14ac:dyDescent="0.25">
      <c r="A106">
        <v>105</v>
      </c>
      <c r="B106">
        <v>33</v>
      </c>
      <c r="C106" t="s">
        <v>21</v>
      </c>
      <c r="D106">
        <v>-3.1899895743462803E-2</v>
      </c>
      <c r="E106">
        <v>-0.44703120749521902</v>
      </c>
      <c r="F106">
        <v>0.38323141600829302</v>
      </c>
      <c r="G106">
        <v>1259.7608630913301</v>
      </c>
      <c r="H106">
        <v>1357.24508072494</v>
      </c>
      <c r="I106" t="s">
        <v>38</v>
      </c>
      <c r="J106" t="s">
        <v>12</v>
      </c>
      <c r="K106" t="s">
        <v>87</v>
      </c>
      <c r="L106" s="4" t="str">
        <f t="shared" si="1"/>
        <v>-0.03[-0.45,0.38]</v>
      </c>
    </row>
    <row r="107" spans="1:12" x14ac:dyDescent="0.25">
      <c r="A107">
        <v>106</v>
      </c>
      <c r="B107">
        <v>34</v>
      </c>
      <c r="C107" t="s">
        <v>22</v>
      </c>
      <c r="D107">
        <v>0.122103046621736</v>
      </c>
      <c r="E107">
        <v>-1.35180631551188</v>
      </c>
      <c r="F107">
        <v>1.59601240875535</v>
      </c>
      <c r="G107">
        <v>1259.7608630913301</v>
      </c>
      <c r="H107">
        <v>1357.24508072494</v>
      </c>
      <c r="I107" t="s">
        <v>38</v>
      </c>
      <c r="J107" t="s">
        <v>12</v>
      </c>
      <c r="K107" t="s">
        <v>87</v>
      </c>
      <c r="L107" s="4" t="str">
        <f t="shared" si="1"/>
        <v>0.12[-1.35,1.60]</v>
      </c>
    </row>
    <row r="108" spans="1:12" x14ac:dyDescent="0.25">
      <c r="A108">
        <v>107</v>
      </c>
      <c r="B108">
        <v>35</v>
      </c>
      <c r="C108" t="s">
        <v>23</v>
      </c>
      <c r="D108">
        <v>0.81217580955230495</v>
      </c>
      <c r="E108">
        <v>-0.121372145952405</v>
      </c>
      <c r="F108">
        <v>1.7457237650570101</v>
      </c>
      <c r="G108">
        <v>1259.7608630913301</v>
      </c>
      <c r="H108">
        <v>1357.24508072494</v>
      </c>
      <c r="I108" t="s">
        <v>38</v>
      </c>
      <c r="J108" t="s">
        <v>12</v>
      </c>
      <c r="K108" t="s">
        <v>87</v>
      </c>
      <c r="L108" s="4" t="str">
        <f t="shared" si="1"/>
        <v>0.81[-0.12,1.75]</v>
      </c>
    </row>
    <row r="109" spans="1:12" x14ac:dyDescent="0.25">
      <c r="A109">
        <v>108</v>
      </c>
      <c r="B109">
        <v>36</v>
      </c>
      <c r="C109" t="s">
        <v>24</v>
      </c>
      <c r="D109">
        <v>-1.4633157695716901</v>
      </c>
      <c r="E109">
        <v>-2.1395491970033</v>
      </c>
      <c r="F109">
        <v>-0.787082342140076</v>
      </c>
      <c r="G109">
        <v>1259.7608630913301</v>
      </c>
      <c r="H109">
        <v>1357.24508072494</v>
      </c>
      <c r="I109" t="s">
        <v>38</v>
      </c>
      <c r="J109" t="s">
        <v>12</v>
      </c>
      <c r="K109" t="s">
        <v>87</v>
      </c>
      <c r="L109" s="4" t="str">
        <f t="shared" si="1"/>
        <v>-1.46[-2.14,-0.79]</v>
      </c>
    </row>
    <row r="110" spans="1:12" x14ac:dyDescent="0.25">
      <c r="A110">
        <v>109</v>
      </c>
      <c r="B110">
        <v>37</v>
      </c>
      <c r="C110" t="s">
        <v>25</v>
      </c>
      <c r="D110">
        <v>-0.22576929928827599</v>
      </c>
      <c r="E110">
        <v>-0.56098313732518901</v>
      </c>
      <c r="F110">
        <v>0.10944453874863699</v>
      </c>
      <c r="G110">
        <v>1259.7608630913301</v>
      </c>
      <c r="H110">
        <v>1357.24508072494</v>
      </c>
      <c r="I110" t="s">
        <v>38</v>
      </c>
      <c r="J110" t="s">
        <v>12</v>
      </c>
      <c r="K110" t="s">
        <v>87</v>
      </c>
      <c r="L110" s="4" t="str">
        <f t="shared" si="1"/>
        <v>-0.23[-0.56,0.11]</v>
      </c>
    </row>
    <row r="111" spans="1:12" x14ac:dyDescent="0.25">
      <c r="A111">
        <v>110</v>
      </c>
      <c r="B111">
        <v>38</v>
      </c>
      <c r="C111" t="s">
        <v>26</v>
      </c>
      <c r="D111">
        <v>-0.318554552910294</v>
      </c>
      <c r="E111">
        <v>-0.786174486205238</v>
      </c>
      <c r="F111">
        <v>0.149065380384651</v>
      </c>
      <c r="G111">
        <v>1259.7608630913301</v>
      </c>
      <c r="H111">
        <v>1357.24508072494</v>
      </c>
      <c r="I111" t="s">
        <v>38</v>
      </c>
      <c r="J111" t="s">
        <v>12</v>
      </c>
      <c r="K111" t="s">
        <v>87</v>
      </c>
      <c r="L111" s="4" t="str">
        <f t="shared" si="1"/>
        <v>-0.32[-0.79,0.15]</v>
      </c>
    </row>
    <row r="112" spans="1:12" x14ac:dyDescent="0.25">
      <c r="A112">
        <v>111</v>
      </c>
      <c r="B112">
        <v>39</v>
      </c>
      <c r="C112" t="s">
        <v>27</v>
      </c>
      <c r="D112">
        <v>-0.46439748153252203</v>
      </c>
      <c r="E112">
        <v>-0.77807937800929605</v>
      </c>
      <c r="F112">
        <v>-0.150715585055748</v>
      </c>
      <c r="G112">
        <v>1259.7608630913301</v>
      </c>
      <c r="H112">
        <v>1357.24508072494</v>
      </c>
      <c r="I112" t="s">
        <v>38</v>
      </c>
      <c r="J112" t="s">
        <v>12</v>
      </c>
      <c r="K112" t="s">
        <v>87</v>
      </c>
      <c r="L112" s="4" t="str">
        <f t="shared" si="1"/>
        <v>-0.46[-0.78,-0.15]</v>
      </c>
    </row>
    <row r="113" spans="1:12" x14ac:dyDescent="0.25">
      <c r="A113">
        <v>112</v>
      </c>
      <c r="B113">
        <v>40</v>
      </c>
      <c r="C113" t="s">
        <v>28</v>
      </c>
      <c r="D113">
        <v>-0.27298098965462297</v>
      </c>
      <c r="E113">
        <v>-0.561575335413109</v>
      </c>
      <c r="F113">
        <v>1.56133561038636E-2</v>
      </c>
      <c r="G113">
        <v>1259.7608630913301</v>
      </c>
      <c r="H113">
        <v>1357.24508072494</v>
      </c>
      <c r="I113" t="s">
        <v>38</v>
      </c>
      <c r="J113" t="s">
        <v>12</v>
      </c>
      <c r="K113" t="s">
        <v>87</v>
      </c>
      <c r="L113" s="4" t="str">
        <f t="shared" si="1"/>
        <v>-0.27[-0.56,0.02]</v>
      </c>
    </row>
    <row r="114" spans="1:12" x14ac:dyDescent="0.25">
      <c r="A114">
        <v>113</v>
      </c>
      <c r="B114">
        <v>41</v>
      </c>
      <c r="C114" t="s">
        <v>29</v>
      </c>
      <c r="D114">
        <v>-0.52405300481632899</v>
      </c>
      <c r="E114">
        <v>-0.92050956082098301</v>
      </c>
      <c r="F114">
        <v>-0.12759644881167501</v>
      </c>
      <c r="G114">
        <v>1259.7608630913301</v>
      </c>
      <c r="H114">
        <v>1357.24508072494</v>
      </c>
      <c r="I114" t="s">
        <v>38</v>
      </c>
      <c r="J114" t="s">
        <v>12</v>
      </c>
      <c r="K114" t="s">
        <v>87</v>
      </c>
      <c r="L114" s="4" t="str">
        <f t="shared" si="1"/>
        <v>-0.52[-0.92,-0.13]</v>
      </c>
    </row>
    <row r="115" spans="1:12" x14ac:dyDescent="0.25">
      <c r="A115">
        <v>114</v>
      </c>
      <c r="B115">
        <v>42</v>
      </c>
      <c r="C115" t="s">
        <v>30</v>
      </c>
      <c r="D115">
        <v>-1.6357421847181299</v>
      </c>
      <c r="E115">
        <v>-3.37244932602791</v>
      </c>
      <c r="F115">
        <v>0.100964956591648</v>
      </c>
      <c r="G115">
        <v>1259.7608630913301</v>
      </c>
      <c r="H115">
        <v>1357.24508072494</v>
      </c>
      <c r="I115" t="s">
        <v>38</v>
      </c>
      <c r="J115" t="s">
        <v>12</v>
      </c>
      <c r="K115" t="s">
        <v>87</v>
      </c>
      <c r="L115" s="4" t="str">
        <f t="shared" si="1"/>
        <v>-1.64[-3.37,0.10]</v>
      </c>
    </row>
    <row r="116" spans="1:12" x14ac:dyDescent="0.25">
      <c r="A116">
        <v>115</v>
      </c>
      <c r="B116">
        <v>43</v>
      </c>
      <c r="C116" t="s">
        <v>31</v>
      </c>
      <c r="D116">
        <v>1.43311030036543</v>
      </c>
      <c r="E116">
        <v>-0.258747889279763</v>
      </c>
      <c r="F116">
        <v>3.12496849001062</v>
      </c>
      <c r="G116">
        <v>1259.7608630913301</v>
      </c>
      <c r="H116">
        <v>1357.24508072494</v>
      </c>
      <c r="I116" t="s">
        <v>38</v>
      </c>
      <c r="J116" t="s">
        <v>12</v>
      </c>
      <c r="K116" t="s">
        <v>87</v>
      </c>
      <c r="L116" s="4" t="str">
        <f t="shared" si="1"/>
        <v>1.43[-0.26,3.12]</v>
      </c>
    </row>
    <row r="117" spans="1:12" x14ac:dyDescent="0.25">
      <c r="A117">
        <v>116</v>
      </c>
      <c r="B117">
        <v>44</v>
      </c>
      <c r="C117" t="s">
        <v>32</v>
      </c>
      <c r="D117">
        <v>-0.61684947318147898</v>
      </c>
      <c r="E117">
        <v>-1.1822267680940499</v>
      </c>
      <c r="F117">
        <v>-5.1472178268905502E-2</v>
      </c>
      <c r="G117">
        <v>1259.7608630913301</v>
      </c>
      <c r="H117">
        <v>1357.24508072494</v>
      </c>
      <c r="I117" t="s">
        <v>38</v>
      </c>
      <c r="J117" t="s">
        <v>12</v>
      </c>
      <c r="K117" t="s">
        <v>87</v>
      </c>
      <c r="L117" s="4" t="str">
        <f t="shared" si="1"/>
        <v>-0.62[-1.18,-0.05]</v>
      </c>
    </row>
    <row r="118" spans="1:12" x14ac:dyDescent="0.25">
      <c r="A118">
        <v>117</v>
      </c>
      <c r="B118">
        <v>45</v>
      </c>
      <c r="C118" t="s">
        <v>33</v>
      </c>
      <c r="D118">
        <v>-0.4005905697612</v>
      </c>
      <c r="E118">
        <v>-1.0347451649752</v>
      </c>
      <c r="F118">
        <v>0.233564025452795</v>
      </c>
      <c r="G118">
        <v>1259.7608630913301</v>
      </c>
      <c r="H118">
        <v>1357.24508072494</v>
      </c>
      <c r="I118" t="s">
        <v>38</v>
      </c>
      <c r="J118" t="s">
        <v>12</v>
      </c>
      <c r="K118" t="s">
        <v>87</v>
      </c>
      <c r="L118" s="4" t="str">
        <f t="shared" si="1"/>
        <v>-0.40[-1.03,0.23]</v>
      </c>
    </row>
    <row r="119" spans="1:12" x14ac:dyDescent="0.25">
      <c r="A119">
        <v>118</v>
      </c>
      <c r="B119">
        <v>46</v>
      </c>
      <c r="C119" t="s">
        <v>34</v>
      </c>
      <c r="D119">
        <v>-0.33840501670821299</v>
      </c>
      <c r="E119">
        <v>-0.71788171396910105</v>
      </c>
      <c r="F119">
        <v>4.1071680552675703E-2</v>
      </c>
      <c r="G119">
        <v>1259.7608630913301</v>
      </c>
      <c r="H119">
        <v>1357.24508072494</v>
      </c>
      <c r="I119" t="s">
        <v>38</v>
      </c>
      <c r="J119" t="s">
        <v>12</v>
      </c>
      <c r="K119" t="s">
        <v>87</v>
      </c>
      <c r="L119" s="4" t="str">
        <f t="shared" si="1"/>
        <v>-0.34[-0.72,0.04]</v>
      </c>
    </row>
    <row r="120" spans="1:12" x14ac:dyDescent="0.25">
      <c r="A120">
        <v>119</v>
      </c>
      <c r="B120">
        <v>47</v>
      </c>
      <c r="C120" t="s">
        <v>35</v>
      </c>
      <c r="D120">
        <v>-0.160383921728639</v>
      </c>
      <c r="E120">
        <v>-0.53695593362174499</v>
      </c>
      <c r="F120">
        <v>0.216188090164466</v>
      </c>
      <c r="G120">
        <v>1259.7608630913301</v>
      </c>
      <c r="H120">
        <v>1357.24508072494</v>
      </c>
      <c r="I120" t="s">
        <v>38</v>
      </c>
      <c r="J120" t="s">
        <v>12</v>
      </c>
      <c r="K120" t="s">
        <v>87</v>
      </c>
      <c r="L120" s="4" t="str">
        <f t="shared" si="1"/>
        <v>-0.16[-0.54,0.22]</v>
      </c>
    </row>
    <row r="121" spans="1:12" x14ac:dyDescent="0.25">
      <c r="A121">
        <v>120</v>
      </c>
      <c r="B121">
        <v>48</v>
      </c>
      <c r="C121" t="s">
        <v>36</v>
      </c>
      <c r="D121">
        <v>-0.49243846272778302</v>
      </c>
      <c r="E121">
        <v>-0.83827078546512401</v>
      </c>
      <c r="F121">
        <v>-0.146606139990443</v>
      </c>
      <c r="G121">
        <v>1259.7608630913301</v>
      </c>
      <c r="H121">
        <v>1357.24508072494</v>
      </c>
      <c r="I121" t="s">
        <v>38</v>
      </c>
      <c r="J121" t="s">
        <v>12</v>
      </c>
      <c r="K121" t="s">
        <v>87</v>
      </c>
      <c r="L121" s="4" t="str">
        <f t="shared" si="1"/>
        <v>-0.49[-0.84,-0.15]</v>
      </c>
    </row>
    <row r="122" spans="1:12" x14ac:dyDescent="0.25">
      <c r="A122">
        <v>121</v>
      </c>
      <c r="B122">
        <v>49</v>
      </c>
      <c r="C122" t="s">
        <v>10</v>
      </c>
      <c r="D122">
        <v>64.380208094894002</v>
      </c>
      <c r="E122">
        <v>63.731179844580801</v>
      </c>
      <c r="F122">
        <v>65.029236345207195</v>
      </c>
      <c r="G122">
        <v>1381.6252116190001</v>
      </c>
      <c r="H122">
        <v>1479.10942925261</v>
      </c>
      <c r="I122" t="s">
        <v>63</v>
      </c>
      <c r="J122" t="s">
        <v>12</v>
      </c>
      <c r="K122" t="s">
        <v>87</v>
      </c>
      <c r="L122" s="4" t="str">
        <f t="shared" si="1"/>
        <v>64.38[63.73,65.03]</v>
      </c>
    </row>
    <row r="123" spans="1:12" x14ac:dyDescent="0.25">
      <c r="A123">
        <v>122</v>
      </c>
      <c r="B123">
        <v>50</v>
      </c>
      <c r="C123" t="s">
        <v>14</v>
      </c>
      <c r="D123">
        <v>0.45394956988839402</v>
      </c>
      <c r="E123">
        <v>-0.13293577103207599</v>
      </c>
      <c r="F123">
        <v>1.0408349108088699</v>
      </c>
      <c r="G123">
        <v>1381.6252116190001</v>
      </c>
      <c r="H123">
        <v>1479.10942925261</v>
      </c>
      <c r="I123" t="s">
        <v>63</v>
      </c>
      <c r="J123" t="s">
        <v>12</v>
      </c>
      <c r="K123" t="s">
        <v>87</v>
      </c>
      <c r="L123" s="4" t="str">
        <f t="shared" si="1"/>
        <v>0.45[-0.13,1.04]</v>
      </c>
    </row>
    <row r="124" spans="1:12" x14ac:dyDescent="0.25">
      <c r="A124">
        <v>123</v>
      </c>
      <c r="B124">
        <v>51</v>
      </c>
      <c r="C124" t="s">
        <v>15</v>
      </c>
      <c r="D124">
        <v>-0.79702054752405205</v>
      </c>
      <c r="E124">
        <v>-2.1115793482380001</v>
      </c>
      <c r="F124">
        <v>0.51753825318990099</v>
      </c>
      <c r="G124">
        <v>1381.6252116190001</v>
      </c>
      <c r="H124">
        <v>1479.10942925261</v>
      </c>
      <c r="I124" t="s">
        <v>63</v>
      </c>
      <c r="J124" t="s">
        <v>12</v>
      </c>
      <c r="K124" t="s">
        <v>87</v>
      </c>
      <c r="L124" s="4" t="str">
        <f t="shared" si="1"/>
        <v>-0.80[-2.11,0.52]</v>
      </c>
    </row>
    <row r="125" spans="1:12" x14ac:dyDescent="0.25">
      <c r="A125">
        <v>124</v>
      </c>
      <c r="B125">
        <v>52</v>
      </c>
      <c r="C125" t="s">
        <v>16</v>
      </c>
      <c r="D125">
        <v>-1.5940470042251</v>
      </c>
      <c r="E125">
        <v>-3.2363380108829398</v>
      </c>
      <c r="F125">
        <v>4.8244002432745299E-2</v>
      </c>
      <c r="G125">
        <v>1381.6252116190001</v>
      </c>
      <c r="H125">
        <v>1479.10942925261</v>
      </c>
      <c r="I125" t="s">
        <v>63</v>
      </c>
      <c r="J125" t="s">
        <v>12</v>
      </c>
      <c r="K125" t="s">
        <v>87</v>
      </c>
      <c r="L125" s="4" t="str">
        <f t="shared" si="1"/>
        <v>-1.59[-3.24,0.05]</v>
      </c>
    </row>
    <row r="126" spans="1:12" x14ac:dyDescent="0.25">
      <c r="A126">
        <v>125</v>
      </c>
      <c r="B126">
        <v>53</v>
      </c>
      <c r="C126" t="s">
        <v>17</v>
      </c>
      <c r="D126">
        <v>-2.44855880678156</v>
      </c>
      <c r="E126">
        <v>-2.8907269911156801</v>
      </c>
      <c r="F126">
        <v>-2.0063906224474302</v>
      </c>
      <c r="G126">
        <v>1381.6252116190001</v>
      </c>
      <c r="H126">
        <v>1479.10942925261</v>
      </c>
      <c r="I126" t="s">
        <v>63</v>
      </c>
      <c r="J126" t="s">
        <v>12</v>
      </c>
      <c r="K126" t="s">
        <v>87</v>
      </c>
      <c r="L126" s="4" t="str">
        <f t="shared" si="1"/>
        <v>-2.45[-2.89,-2.01]</v>
      </c>
    </row>
    <row r="127" spans="1:12" x14ac:dyDescent="0.25">
      <c r="A127">
        <v>126</v>
      </c>
      <c r="B127">
        <v>54</v>
      </c>
      <c r="C127" t="s">
        <v>18</v>
      </c>
      <c r="D127">
        <v>-0.22221572806453099</v>
      </c>
      <c r="E127">
        <v>-0.60051515578190995</v>
      </c>
      <c r="F127">
        <v>0.15608369965284799</v>
      </c>
      <c r="G127">
        <v>1381.6252116190001</v>
      </c>
      <c r="H127">
        <v>1479.10942925261</v>
      </c>
      <c r="I127" t="s">
        <v>63</v>
      </c>
      <c r="J127" t="s">
        <v>12</v>
      </c>
      <c r="K127" t="s">
        <v>87</v>
      </c>
      <c r="L127" s="4" t="str">
        <f t="shared" si="1"/>
        <v>-0.22[-0.60,0.16]</v>
      </c>
    </row>
    <row r="128" spans="1:12" x14ac:dyDescent="0.25">
      <c r="A128">
        <v>127</v>
      </c>
      <c r="B128">
        <v>55</v>
      </c>
      <c r="C128" t="s">
        <v>19</v>
      </c>
      <c r="D128">
        <v>-1.65263697573463</v>
      </c>
      <c r="E128">
        <v>-2.01863877607197</v>
      </c>
      <c r="F128">
        <v>-1.28663517539728</v>
      </c>
      <c r="G128">
        <v>1381.6252116190001</v>
      </c>
      <c r="H128">
        <v>1479.10942925261</v>
      </c>
      <c r="I128" t="s">
        <v>63</v>
      </c>
      <c r="J128" t="s">
        <v>12</v>
      </c>
      <c r="K128" t="s">
        <v>87</v>
      </c>
      <c r="L128" s="4" t="str">
        <f t="shared" si="1"/>
        <v>-1.65[-2.02,-1.29]</v>
      </c>
    </row>
    <row r="129" spans="1:12" x14ac:dyDescent="0.25">
      <c r="A129">
        <v>128</v>
      </c>
      <c r="B129">
        <v>56</v>
      </c>
      <c r="C129" t="s">
        <v>20</v>
      </c>
      <c r="D129">
        <v>-1.18232824539049</v>
      </c>
      <c r="E129">
        <v>-1.72088298078543</v>
      </c>
      <c r="F129">
        <v>-0.64377350999555805</v>
      </c>
      <c r="G129">
        <v>1381.6252116190001</v>
      </c>
      <c r="H129">
        <v>1479.10942925261</v>
      </c>
      <c r="I129" t="s">
        <v>63</v>
      </c>
      <c r="J129" t="s">
        <v>12</v>
      </c>
      <c r="K129" t="s">
        <v>87</v>
      </c>
      <c r="L129" s="4" t="str">
        <f t="shared" si="1"/>
        <v>-1.18[-1.72,-0.64]</v>
      </c>
    </row>
    <row r="130" spans="1:12" x14ac:dyDescent="0.25">
      <c r="A130">
        <v>129</v>
      </c>
      <c r="B130">
        <v>57</v>
      </c>
      <c r="C130" t="s">
        <v>21</v>
      </c>
      <c r="D130">
        <v>-9.2311155439866496E-2</v>
      </c>
      <c r="E130">
        <v>-0.60639718635772399</v>
      </c>
      <c r="F130">
        <v>0.42177487547798997</v>
      </c>
      <c r="G130">
        <v>1381.6252116190001</v>
      </c>
      <c r="H130">
        <v>1479.10942925261</v>
      </c>
      <c r="I130" t="s">
        <v>63</v>
      </c>
      <c r="J130" t="s">
        <v>12</v>
      </c>
      <c r="K130" t="s">
        <v>87</v>
      </c>
      <c r="L130" s="4" t="str">
        <f t="shared" si="1"/>
        <v>-0.09[-0.61,0.42]</v>
      </c>
    </row>
    <row r="131" spans="1:12" x14ac:dyDescent="0.25">
      <c r="A131">
        <v>130</v>
      </c>
      <c r="B131">
        <v>58</v>
      </c>
      <c r="C131" t="s">
        <v>22</v>
      </c>
      <c r="D131">
        <v>0.334718305432606</v>
      </c>
      <c r="E131">
        <v>-1.48425464841377</v>
      </c>
      <c r="F131">
        <v>2.1536912592789799</v>
      </c>
      <c r="G131">
        <v>1381.6252116190001</v>
      </c>
      <c r="H131">
        <v>1479.10942925261</v>
      </c>
      <c r="I131" t="s">
        <v>63</v>
      </c>
      <c r="J131" t="s">
        <v>12</v>
      </c>
      <c r="K131" t="s">
        <v>87</v>
      </c>
      <c r="L131" s="4" t="str">
        <f t="shared" ref="L131:L194" si="2">TEXT(ROUND(D131,2),"0.00") &amp; "[" &amp; TEXT(ROUND(E131,2),"0.00") &amp; "," &amp; TEXT(ROUND(F131,2),"0.00") &amp; "]"</f>
        <v>0.33[-1.48,2.15]</v>
      </c>
    </row>
    <row r="132" spans="1:12" x14ac:dyDescent="0.25">
      <c r="A132">
        <v>131</v>
      </c>
      <c r="B132">
        <v>59</v>
      </c>
      <c r="C132" t="s">
        <v>23</v>
      </c>
      <c r="D132">
        <v>2.1604472434416002</v>
      </c>
      <c r="E132">
        <v>0.99495738481825702</v>
      </c>
      <c r="F132">
        <v>3.3259371020649402</v>
      </c>
      <c r="G132">
        <v>1381.6252116190001</v>
      </c>
      <c r="H132">
        <v>1479.10942925261</v>
      </c>
      <c r="I132" t="s">
        <v>63</v>
      </c>
      <c r="J132" t="s">
        <v>12</v>
      </c>
      <c r="K132" t="s">
        <v>87</v>
      </c>
      <c r="L132" s="4" t="str">
        <f t="shared" si="2"/>
        <v>2.16[0.99,3.33]</v>
      </c>
    </row>
    <row r="133" spans="1:12" x14ac:dyDescent="0.25">
      <c r="A133">
        <v>132</v>
      </c>
      <c r="B133">
        <v>60</v>
      </c>
      <c r="C133" t="s">
        <v>24</v>
      </c>
      <c r="D133">
        <v>-1.22360024451917</v>
      </c>
      <c r="E133">
        <v>-2.07641535559836</v>
      </c>
      <c r="F133">
        <v>-0.37078513343997899</v>
      </c>
      <c r="G133">
        <v>1381.6252116190001</v>
      </c>
      <c r="H133">
        <v>1479.10942925261</v>
      </c>
      <c r="I133" t="s">
        <v>63</v>
      </c>
      <c r="J133" t="s">
        <v>12</v>
      </c>
      <c r="K133" t="s">
        <v>87</v>
      </c>
      <c r="L133" s="4" t="str">
        <f t="shared" si="2"/>
        <v>-1.22[-2.08,-0.37]</v>
      </c>
    </row>
    <row r="134" spans="1:12" x14ac:dyDescent="0.25">
      <c r="A134">
        <v>133</v>
      </c>
      <c r="B134">
        <v>61</v>
      </c>
      <c r="C134" t="s">
        <v>25</v>
      </c>
      <c r="D134">
        <v>-6.7359327402627999E-3</v>
      </c>
      <c r="E134">
        <v>-0.42443026261878603</v>
      </c>
      <c r="F134">
        <v>0.41095839713826099</v>
      </c>
      <c r="G134">
        <v>1381.6252116190001</v>
      </c>
      <c r="H134">
        <v>1479.10942925261</v>
      </c>
      <c r="I134" t="s">
        <v>63</v>
      </c>
      <c r="J134" t="s">
        <v>12</v>
      </c>
      <c r="K134" t="s">
        <v>87</v>
      </c>
      <c r="L134" s="4" t="str">
        <f t="shared" si="2"/>
        <v>-0.01[-0.42,0.41]</v>
      </c>
    </row>
    <row r="135" spans="1:12" x14ac:dyDescent="0.25">
      <c r="A135">
        <v>134</v>
      </c>
      <c r="B135">
        <v>62</v>
      </c>
      <c r="C135" t="s">
        <v>26</v>
      </c>
      <c r="D135">
        <v>-0.24003513150036701</v>
      </c>
      <c r="E135">
        <v>-0.98387100515229997</v>
      </c>
      <c r="F135">
        <v>0.50380074215156501</v>
      </c>
      <c r="G135">
        <v>1381.6252116190001</v>
      </c>
      <c r="H135">
        <v>1479.10942925261</v>
      </c>
      <c r="I135" t="s">
        <v>63</v>
      </c>
      <c r="J135" t="s">
        <v>12</v>
      </c>
      <c r="K135" t="s">
        <v>87</v>
      </c>
      <c r="L135" s="4" t="str">
        <f t="shared" si="2"/>
        <v>-0.24[-0.98,0.50]</v>
      </c>
    </row>
    <row r="136" spans="1:12" x14ac:dyDescent="0.25">
      <c r="A136">
        <v>135</v>
      </c>
      <c r="B136">
        <v>63</v>
      </c>
      <c r="C136" t="s">
        <v>27</v>
      </c>
      <c r="D136">
        <v>-0.51553830093785402</v>
      </c>
      <c r="E136">
        <v>-0.90221665095494297</v>
      </c>
      <c r="F136">
        <v>-0.12885995092076399</v>
      </c>
      <c r="G136">
        <v>1381.6252116190001</v>
      </c>
      <c r="H136">
        <v>1479.10942925261</v>
      </c>
      <c r="I136" t="s">
        <v>63</v>
      </c>
      <c r="J136" t="s">
        <v>12</v>
      </c>
      <c r="K136" t="s">
        <v>87</v>
      </c>
      <c r="L136" s="4" t="str">
        <f t="shared" si="2"/>
        <v>-0.52[-0.90,-0.13]</v>
      </c>
    </row>
    <row r="137" spans="1:12" x14ac:dyDescent="0.25">
      <c r="A137">
        <v>136</v>
      </c>
      <c r="B137">
        <v>64</v>
      </c>
      <c r="C137" t="s">
        <v>28</v>
      </c>
      <c r="D137">
        <v>-0.37728594113108399</v>
      </c>
      <c r="E137">
        <v>-0.73348355274557397</v>
      </c>
      <c r="F137">
        <v>-2.1088329516593E-2</v>
      </c>
      <c r="G137">
        <v>1381.6252116190001</v>
      </c>
      <c r="H137">
        <v>1479.10942925261</v>
      </c>
      <c r="I137" t="s">
        <v>63</v>
      </c>
      <c r="J137" t="s">
        <v>12</v>
      </c>
      <c r="K137" t="s">
        <v>87</v>
      </c>
      <c r="L137" s="4" t="str">
        <f t="shared" si="2"/>
        <v>-0.38[-0.73,-0.02]</v>
      </c>
    </row>
    <row r="138" spans="1:12" x14ac:dyDescent="0.25">
      <c r="A138">
        <v>137</v>
      </c>
      <c r="B138">
        <v>65</v>
      </c>
      <c r="C138" t="s">
        <v>29</v>
      </c>
      <c r="D138">
        <v>-0.65635775306899002</v>
      </c>
      <c r="E138">
        <v>-1.1614596851448</v>
      </c>
      <c r="F138">
        <v>-0.15125582099318099</v>
      </c>
      <c r="G138">
        <v>1381.6252116190001</v>
      </c>
      <c r="H138">
        <v>1479.10942925261</v>
      </c>
      <c r="I138" t="s">
        <v>63</v>
      </c>
      <c r="J138" t="s">
        <v>12</v>
      </c>
      <c r="K138" t="s">
        <v>87</v>
      </c>
      <c r="L138" s="4" t="str">
        <f t="shared" si="2"/>
        <v>-0.66[-1.16,-0.15]</v>
      </c>
    </row>
    <row r="139" spans="1:12" x14ac:dyDescent="0.25">
      <c r="A139">
        <v>138</v>
      </c>
      <c r="B139">
        <v>66</v>
      </c>
      <c r="C139" t="s">
        <v>30</v>
      </c>
      <c r="D139">
        <v>-1.84549364881717</v>
      </c>
      <c r="E139">
        <v>-3.9895861229085301</v>
      </c>
      <c r="F139">
        <v>0.29859882527419601</v>
      </c>
      <c r="G139">
        <v>1381.6252116190001</v>
      </c>
      <c r="H139">
        <v>1479.10942925261</v>
      </c>
      <c r="I139" t="s">
        <v>63</v>
      </c>
      <c r="J139" t="s">
        <v>12</v>
      </c>
      <c r="K139" t="s">
        <v>87</v>
      </c>
      <c r="L139" s="4" t="str">
        <f t="shared" si="2"/>
        <v>-1.85[-3.99,0.30]</v>
      </c>
    </row>
    <row r="140" spans="1:12" x14ac:dyDescent="0.25">
      <c r="A140">
        <v>139</v>
      </c>
      <c r="B140">
        <v>67</v>
      </c>
      <c r="C140" t="s">
        <v>31</v>
      </c>
      <c r="D140">
        <v>0.58846319388205703</v>
      </c>
      <c r="E140">
        <v>-1.49542201502963</v>
      </c>
      <c r="F140">
        <v>2.6723484027937401</v>
      </c>
      <c r="G140">
        <v>1381.6252116190001</v>
      </c>
      <c r="H140">
        <v>1479.10942925261</v>
      </c>
      <c r="I140" t="s">
        <v>63</v>
      </c>
      <c r="J140" t="s">
        <v>12</v>
      </c>
      <c r="K140" t="s">
        <v>87</v>
      </c>
      <c r="L140" s="4" t="str">
        <f t="shared" si="2"/>
        <v>0.59[-1.50,2.67]</v>
      </c>
    </row>
    <row r="141" spans="1:12" x14ac:dyDescent="0.25">
      <c r="A141">
        <v>140</v>
      </c>
      <c r="B141">
        <v>68</v>
      </c>
      <c r="C141" t="s">
        <v>32</v>
      </c>
      <c r="D141">
        <v>-1.23745668632146</v>
      </c>
      <c r="E141">
        <v>-1.9473413173023799</v>
      </c>
      <c r="F141">
        <v>-0.52757205534054397</v>
      </c>
      <c r="G141">
        <v>1381.6252116190001</v>
      </c>
      <c r="H141">
        <v>1479.10942925261</v>
      </c>
      <c r="I141" t="s">
        <v>63</v>
      </c>
      <c r="J141" t="s">
        <v>12</v>
      </c>
      <c r="K141" t="s">
        <v>87</v>
      </c>
      <c r="L141" s="4" t="str">
        <f t="shared" si="2"/>
        <v>-1.24[-1.95,-0.53]</v>
      </c>
    </row>
    <row r="142" spans="1:12" x14ac:dyDescent="0.25">
      <c r="A142">
        <v>141</v>
      </c>
      <c r="B142">
        <v>69</v>
      </c>
      <c r="C142" t="s">
        <v>33</v>
      </c>
      <c r="D142">
        <v>0.56309498533567104</v>
      </c>
      <c r="E142">
        <v>-0.22890749652318401</v>
      </c>
      <c r="F142">
        <v>1.3550974671945299</v>
      </c>
      <c r="G142">
        <v>1381.6252116190001</v>
      </c>
      <c r="H142">
        <v>1479.10942925261</v>
      </c>
      <c r="I142" t="s">
        <v>63</v>
      </c>
      <c r="J142" t="s">
        <v>12</v>
      </c>
      <c r="K142" t="s">
        <v>87</v>
      </c>
      <c r="L142" s="4" t="str">
        <f t="shared" si="2"/>
        <v>0.56[-0.23,1.36]</v>
      </c>
    </row>
    <row r="143" spans="1:12" x14ac:dyDescent="0.25">
      <c r="A143">
        <v>142</v>
      </c>
      <c r="B143">
        <v>70</v>
      </c>
      <c r="C143" t="s">
        <v>34</v>
      </c>
      <c r="D143">
        <v>-0.65451266003179098</v>
      </c>
      <c r="E143">
        <v>-1.12667189654772</v>
      </c>
      <c r="F143">
        <v>-0.18235342351585801</v>
      </c>
      <c r="G143">
        <v>1381.6252116190001</v>
      </c>
      <c r="H143">
        <v>1479.10942925261</v>
      </c>
      <c r="I143" t="s">
        <v>63</v>
      </c>
      <c r="J143" t="s">
        <v>12</v>
      </c>
      <c r="K143" t="s">
        <v>87</v>
      </c>
      <c r="L143" s="4" t="str">
        <f t="shared" si="2"/>
        <v>-0.65[-1.13,-0.18]</v>
      </c>
    </row>
    <row r="144" spans="1:12" x14ac:dyDescent="0.25">
      <c r="A144">
        <v>143</v>
      </c>
      <c r="B144">
        <v>71</v>
      </c>
      <c r="C144" t="s">
        <v>35</v>
      </c>
      <c r="D144">
        <v>-0.199521690351676</v>
      </c>
      <c r="E144">
        <v>-0.67010537126358005</v>
      </c>
      <c r="F144">
        <v>0.27106199056022801</v>
      </c>
      <c r="G144">
        <v>1381.6252116190001</v>
      </c>
      <c r="H144">
        <v>1479.10942925261</v>
      </c>
      <c r="I144" t="s">
        <v>63</v>
      </c>
      <c r="J144" t="s">
        <v>12</v>
      </c>
      <c r="K144" t="s">
        <v>87</v>
      </c>
      <c r="L144" s="4" t="str">
        <f t="shared" si="2"/>
        <v>-0.20[-0.67,0.27]</v>
      </c>
    </row>
    <row r="145" spans="1:12" x14ac:dyDescent="0.25">
      <c r="A145">
        <v>144</v>
      </c>
      <c r="B145">
        <v>72</v>
      </c>
      <c r="C145" t="s">
        <v>36</v>
      </c>
      <c r="D145">
        <v>-0.67135654871977002</v>
      </c>
      <c r="E145">
        <v>-1.1104629812267399</v>
      </c>
      <c r="F145">
        <v>-0.23225011621279501</v>
      </c>
      <c r="G145">
        <v>1381.6252116190001</v>
      </c>
      <c r="H145">
        <v>1479.10942925261</v>
      </c>
      <c r="I145" t="s">
        <v>63</v>
      </c>
      <c r="J145" t="s">
        <v>12</v>
      </c>
      <c r="K145" t="s">
        <v>87</v>
      </c>
      <c r="L145" s="4" t="str">
        <f t="shared" si="2"/>
        <v>-0.67[-1.11,-0.23]</v>
      </c>
    </row>
    <row r="146" spans="1:12" x14ac:dyDescent="0.25">
      <c r="A146">
        <v>145</v>
      </c>
      <c r="B146" t="s">
        <v>10</v>
      </c>
      <c r="C146" t="s">
        <v>10</v>
      </c>
      <c r="D146">
        <v>82.647133757930007</v>
      </c>
      <c r="E146">
        <v>82.472458832035301</v>
      </c>
      <c r="F146">
        <v>82.821808683824599</v>
      </c>
      <c r="G146">
        <v>1193.07509521266</v>
      </c>
      <c r="H146">
        <v>1256.8147759731</v>
      </c>
      <c r="I146" t="s">
        <v>11</v>
      </c>
      <c r="J146" t="s">
        <v>88</v>
      </c>
      <c r="K146" t="s">
        <v>13</v>
      </c>
      <c r="L146" s="4" t="str">
        <f t="shared" si="2"/>
        <v>82.65[82.47,82.82]</v>
      </c>
    </row>
    <row r="147" spans="1:12" x14ac:dyDescent="0.25">
      <c r="A147">
        <v>146</v>
      </c>
      <c r="B147" t="s">
        <v>89</v>
      </c>
      <c r="C147" t="s">
        <v>89</v>
      </c>
      <c r="D147">
        <v>2.7190389727834199</v>
      </c>
      <c r="E147">
        <v>1.42685300554999</v>
      </c>
      <c r="F147">
        <v>4.0112249400168496</v>
      </c>
      <c r="G147">
        <v>1193.07509521266</v>
      </c>
      <c r="H147">
        <v>1256.8147759731</v>
      </c>
      <c r="I147" t="s">
        <v>11</v>
      </c>
      <c r="J147" t="s">
        <v>88</v>
      </c>
      <c r="K147" t="s">
        <v>13</v>
      </c>
      <c r="L147" s="4" t="str">
        <f t="shared" si="2"/>
        <v>2.72[1.43,4.01]</v>
      </c>
    </row>
    <row r="148" spans="1:12" x14ac:dyDescent="0.25">
      <c r="A148">
        <v>147</v>
      </c>
      <c r="B148" t="s">
        <v>17</v>
      </c>
      <c r="C148" t="s">
        <v>17</v>
      </c>
      <c r="D148">
        <v>-2.8482529213343</v>
      </c>
      <c r="E148">
        <v>-3.1482070820403898</v>
      </c>
      <c r="F148">
        <v>-2.5482987606282199</v>
      </c>
      <c r="G148">
        <v>1193.07509521266</v>
      </c>
      <c r="H148">
        <v>1256.8147759731</v>
      </c>
      <c r="I148" t="s">
        <v>11</v>
      </c>
      <c r="J148" t="s">
        <v>88</v>
      </c>
      <c r="K148" t="s">
        <v>13</v>
      </c>
      <c r="L148" s="4" t="str">
        <f t="shared" si="2"/>
        <v>-2.85[-3.15,-2.55]</v>
      </c>
    </row>
    <row r="149" spans="1:12" x14ac:dyDescent="0.25">
      <c r="A149">
        <v>148</v>
      </c>
      <c r="B149" t="s">
        <v>20</v>
      </c>
      <c r="C149" t="s">
        <v>20</v>
      </c>
      <c r="D149">
        <v>-1.32991908051618</v>
      </c>
      <c r="E149">
        <v>-1.6714290546130599</v>
      </c>
      <c r="F149">
        <v>-0.98840910641929502</v>
      </c>
      <c r="G149">
        <v>1193.07509521266</v>
      </c>
      <c r="H149">
        <v>1256.8147759731</v>
      </c>
      <c r="I149" t="s">
        <v>11</v>
      </c>
      <c r="J149" t="s">
        <v>88</v>
      </c>
      <c r="K149" t="s">
        <v>13</v>
      </c>
      <c r="L149" s="4" t="str">
        <f t="shared" si="2"/>
        <v>-1.33[-1.67,-0.99]</v>
      </c>
    </row>
    <row r="150" spans="1:12" x14ac:dyDescent="0.25">
      <c r="A150">
        <v>149</v>
      </c>
      <c r="B150" t="s">
        <v>90</v>
      </c>
      <c r="C150" t="s">
        <v>90</v>
      </c>
      <c r="D150">
        <v>10.165044826490499</v>
      </c>
      <c r="E150">
        <v>-3.7381765362694601</v>
      </c>
      <c r="F150">
        <v>24.0682661892506</v>
      </c>
      <c r="G150">
        <v>1193.07509521266</v>
      </c>
      <c r="H150">
        <v>1256.8147759731</v>
      </c>
      <c r="I150" t="s">
        <v>11</v>
      </c>
      <c r="J150" t="s">
        <v>88</v>
      </c>
      <c r="K150" t="s">
        <v>13</v>
      </c>
      <c r="L150" s="4" t="str">
        <f t="shared" si="2"/>
        <v>10.17[-3.74,24.07]</v>
      </c>
    </row>
    <row r="151" spans="1:12" x14ac:dyDescent="0.25">
      <c r="A151">
        <v>150</v>
      </c>
      <c r="B151" t="s">
        <v>14</v>
      </c>
      <c r="C151" t="s">
        <v>14</v>
      </c>
      <c r="D151">
        <v>-10.0498063182285</v>
      </c>
      <c r="E151">
        <v>-23.8766303345894</v>
      </c>
      <c r="F151">
        <v>3.77701769813237</v>
      </c>
      <c r="G151">
        <v>1193.07509521266</v>
      </c>
      <c r="H151">
        <v>1256.8147759731</v>
      </c>
      <c r="I151" t="s">
        <v>11</v>
      </c>
      <c r="J151" t="s">
        <v>88</v>
      </c>
      <c r="K151" t="s">
        <v>13</v>
      </c>
      <c r="L151" s="4" t="str">
        <f t="shared" si="2"/>
        <v>-10.05[-23.88,3.78]</v>
      </c>
    </row>
    <row r="152" spans="1:12" x14ac:dyDescent="0.25">
      <c r="A152">
        <v>151</v>
      </c>
      <c r="B152" t="s">
        <v>16</v>
      </c>
      <c r="C152" t="s">
        <v>16</v>
      </c>
      <c r="D152">
        <v>-0.23588342498885101</v>
      </c>
      <c r="E152">
        <v>-0.76509023823270905</v>
      </c>
      <c r="F152">
        <v>0.29332338825500698</v>
      </c>
      <c r="G152">
        <v>1193.07509521266</v>
      </c>
      <c r="H152">
        <v>1256.8147759731</v>
      </c>
      <c r="I152" t="s">
        <v>11</v>
      </c>
      <c r="J152" t="s">
        <v>88</v>
      </c>
      <c r="K152" t="s">
        <v>13</v>
      </c>
      <c r="L152" s="4" t="str">
        <f t="shared" si="2"/>
        <v>-0.24[-0.77,0.29]</v>
      </c>
    </row>
    <row r="153" spans="1:12" x14ac:dyDescent="0.25">
      <c r="A153">
        <v>152</v>
      </c>
      <c r="B153" t="s">
        <v>19</v>
      </c>
      <c r="C153" t="s">
        <v>19</v>
      </c>
      <c r="D153">
        <v>-0.73297814196244104</v>
      </c>
      <c r="E153">
        <v>-1.0039397151181599</v>
      </c>
      <c r="F153">
        <v>-0.46201656880672298</v>
      </c>
      <c r="G153">
        <v>1193.07509521266</v>
      </c>
      <c r="H153">
        <v>1256.8147759731</v>
      </c>
      <c r="I153" t="s">
        <v>11</v>
      </c>
      <c r="J153" t="s">
        <v>88</v>
      </c>
      <c r="K153" t="s">
        <v>13</v>
      </c>
      <c r="L153" s="4" t="str">
        <f t="shared" si="2"/>
        <v>-0.73[-1.00,-0.46]</v>
      </c>
    </row>
    <row r="154" spans="1:12" x14ac:dyDescent="0.25">
      <c r="A154">
        <v>153</v>
      </c>
      <c r="B154" t="s">
        <v>24</v>
      </c>
      <c r="C154" t="s">
        <v>24</v>
      </c>
      <c r="D154">
        <v>-0.29685881514007101</v>
      </c>
      <c r="E154">
        <v>-1.1020206724705599</v>
      </c>
      <c r="F154">
        <v>0.508303042190414</v>
      </c>
      <c r="G154">
        <v>1193.07509521266</v>
      </c>
      <c r="H154">
        <v>1256.8147759731</v>
      </c>
      <c r="I154" t="s">
        <v>11</v>
      </c>
      <c r="J154" t="s">
        <v>88</v>
      </c>
      <c r="K154" t="s">
        <v>13</v>
      </c>
      <c r="L154" s="4" t="str">
        <f t="shared" si="2"/>
        <v>-0.30[-1.10,0.51]</v>
      </c>
    </row>
    <row r="155" spans="1:12" x14ac:dyDescent="0.25">
      <c r="A155">
        <v>154</v>
      </c>
      <c r="B155" t="s">
        <v>34</v>
      </c>
      <c r="C155" t="s">
        <v>34</v>
      </c>
      <c r="D155">
        <v>-0.29856969888530499</v>
      </c>
      <c r="E155">
        <v>-0.631872330421685</v>
      </c>
      <c r="F155">
        <v>3.47329326510755E-2</v>
      </c>
      <c r="G155">
        <v>1193.07509521266</v>
      </c>
      <c r="H155">
        <v>1256.8147759731</v>
      </c>
      <c r="I155" t="s">
        <v>11</v>
      </c>
      <c r="J155" t="s">
        <v>88</v>
      </c>
      <c r="K155" t="s">
        <v>13</v>
      </c>
      <c r="L155" s="4" t="str">
        <f t="shared" si="2"/>
        <v>-0.30[-0.63,0.03]</v>
      </c>
    </row>
    <row r="156" spans="1:12" x14ac:dyDescent="0.25">
      <c r="A156">
        <v>155</v>
      </c>
      <c r="B156" t="s">
        <v>30</v>
      </c>
      <c r="C156" t="s">
        <v>30</v>
      </c>
      <c r="D156">
        <v>-0.93131940341588004</v>
      </c>
      <c r="E156">
        <v>-2.0068116427042102</v>
      </c>
      <c r="F156">
        <v>0.144172835872451</v>
      </c>
      <c r="G156">
        <v>1193.07509521266</v>
      </c>
      <c r="H156">
        <v>1256.8147759731</v>
      </c>
      <c r="I156" t="s">
        <v>11</v>
      </c>
      <c r="J156" t="s">
        <v>88</v>
      </c>
      <c r="K156" t="s">
        <v>13</v>
      </c>
      <c r="L156" s="4" t="str">
        <f t="shared" si="2"/>
        <v>-0.93[-2.01,0.14]</v>
      </c>
    </row>
    <row r="157" spans="1:12" x14ac:dyDescent="0.25">
      <c r="A157">
        <v>156</v>
      </c>
      <c r="B157" t="s">
        <v>36</v>
      </c>
      <c r="C157" t="s">
        <v>36</v>
      </c>
      <c r="D157">
        <v>-0.45933106402649898</v>
      </c>
      <c r="E157">
        <v>-0.72151264789970304</v>
      </c>
      <c r="F157">
        <v>-0.197149480153295</v>
      </c>
      <c r="G157">
        <v>1193.07509521266</v>
      </c>
      <c r="H157">
        <v>1256.8147759731</v>
      </c>
      <c r="I157" t="s">
        <v>11</v>
      </c>
      <c r="J157" t="s">
        <v>88</v>
      </c>
      <c r="K157" t="s">
        <v>13</v>
      </c>
      <c r="L157" s="4" t="str">
        <f t="shared" si="2"/>
        <v>-0.46[-0.72,-0.20]</v>
      </c>
    </row>
    <row r="158" spans="1:12" x14ac:dyDescent="0.25">
      <c r="A158">
        <v>157</v>
      </c>
      <c r="B158" t="s">
        <v>27</v>
      </c>
      <c r="C158" t="s">
        <v>27</v>
      </c>
      <c r="D158">
        <v>-0.26052327807234299</v>
      </c>
      <c r="E158">
        <v>-0.54697276836142705</v>
      </c>
      <c r="F158">
        <v>2.59262122167415E-2</v>
      </c>
      <c r="G158">
        <v>1193.07509521266</v>
      </c>
      <c r="H158">
        <v>1256.8147759731</v>
      </c>
      <c r="I158" t="s">
        <v>11</v>
      </c>
      <c r="J158" t="s">
        <v>88</v>
      </c>
      <c r="K158" t="s">
        <v>13</v>
      </c>
      <c r="L158" s="4" t="str">
        <f t="shared" si="2"/>
        <v>-0.26[-0.55,0.03]</v>
      </c>
    </row>
    <row r="159" spans="1:12" x14ac:dyDescent="0.25">
      <c r="A159">
        <v>158</v>
      </c>
      <c r="B159" t="s">
        <v>22</v>
      </c>
      <c r="C159" t="s">
        <v>22</v>
      </c>
      <c r="D159">
        <v>-0.10814738269907399</v>
      </c>
      <c r="E159">
        <v>-1.14930627368162</v>
      </c>
      <c r="F159">
        <v>0.93301150828347301</v>
      </c>
      <c r="G159">
        <v>1193.07509521266</v>
      </c>
      <c r="H159">
        <v>1256.8147759731</v>
      </c>
      <c r="I159" t="s">
        <v>11</v>
      </c>
      <c r="J159" t="s">
        <v>88</v>
      </c>
      <c r="K159" t="s">
        <v>13</v>
      </c>
      <c r="L159" s="4" t="str">
        <f t="shared" si="2"/>
        <v>-0.11[-1.15,0.93]</v>
      </c>
    </row>
    <row r="160" spans="1:12" x14ac:dyDescent="0.25">
      <c r="A160">
        <v>159</v>
      </c>
      <c r="B160" t="s">
        <v>23</v>
      </c>
      <c r="C160" t="s">
        <v>23</v>
      </c>
      <c r="D160">
        <v>-1.1324413057679601</v>
      </c>
      <c r="E160">
        <v>-2.2205062035346499</v>
      </c>
      <c r="F160">
        <v>-4.4376408001265001E-2</v>
      </c>
      <c r="G160">
        <v>1193.07509521266</v>
      </c>
      <c r="H160">
        <v>1256.8147759731</v>
      </c>
      <c r="I160" t="s">
        <v>11</v>
      </c>
      <c r="J160" t="s">
        <v>88</v>
      </c>
      <c r="K160" t="s">
        <v>13</v>
      </c>
      <c r="L160" s="4" t="str">
        <f t="shared" si="2"/>
        <v>-1.13[-2.22,-0.04]</v>
      </c>
    </row>
    <row r="161" spans="1:12" x14ac:dyDescent="0.25">
      <c r="A161">
        <v>160</v>
      </c>
      <c r="B161" t="s">
        <v>29</v>
      </c>
      <c r="C161" t="s">
        <v>29</v>
      </c>
      <c r="D161">
        <v>-0.42492510768139002</v>
      </c>
      <c r="E161">
        <v>-0.74273225655837505</v>
      </c>
      <c r="F161">
        <v>-0.107117958804405</v>
      </c>
      <c r="G161">
        <v>1193.07509521266</v>
      </c>
      <c r="H161">
        <v>1256.8147759731</v>
      </c>
      <c r="I161" t="s">
        <v>11</v>
      </c>
      <c r="J161" t="s">
        <v>88</v>
      </c>
      <c r="K161" t="s">
        <v>13</v>
      </c>
      <c r="L161" s="4" t="str">
        <f t="shared" si="2"/>
        <v>-0.42[-0.74,-0.11]</v>
      </c>
    </row>
    <row r="162" spans="1:12" x14ac:dyDescent="0.25">
      <c r="A162">
        <v>161</v>
      </c>
      <c r="B162" t="s">
        <v>37</v>
      </c>
      <c r="C162" t="s">
        <v>10</v>
      </c>
      <c r="D162">
        <v>79.321337579649693</v>
      </c>
      <c r="E162">
        <v>79.144209702447498</v>
      </c>
      <c r="F162">
        <v>79.498465456851804</v>
      </c>
      <c r="G162">
        <v>1201.83271949449</v>
      </c>
      <c r="H162">
        <v>1265.57240025493</v>
      </c>
      <c r="I162" t="s">
        <v>38</v>
      </c>
      <c r="J162" t="s">
        <v>88</v>
      </c>
      <c r="K162" t="s">
        <v>13</v>
      </c>
      <c r="L162" s="4" t="str">
        <f t="shared" si="2"/>
        <v>79.32[79.14,79.50]</v>
      </c>
    </row>
    <row r="163" spans="1:12" x14ac:dyDescent="0.25">
      <c r="A163">
        <v>162</v>
      </c>
      <c r="B163" t="s">
        <v>91</v>
      </c>
      <c r="C163" t="s">
        <v>89</v>
      </c>
      <c r="D163">
        <v>2.9331313197124702</v>
      </c>
      <c r="E163">
        <v>1.6227992491294201</v>
      </c>
      <c r="F163">
        <v>4.2434633902955197</v>
      </c>
      <c r="G163">
        <v>1201.83271949449</v>
      </c>
      <c r="H163">
        <v>1265.57240025493</v>
      </c>
      <c r="I163" t="s">
        <v>38</v>
      </c>
      <c r="J163" t="s">
        <v>88</v>
      </c>
      <c r="K163" t="s">
        <v>13</v>
      </c>
      <c r="L163" s="4" t="str">
        <f t="shared" si="2"/>
        <v>2.93[1.62,4.24]</v>
      </c>
    </row>
    <row r="164" spans="1:12" x14ac:dyDescent="0.25">
      <c r="A164">
        <v>163</v>
      </c>
      <c r="B164" t="s">
        <v>42</v>
      </c>
      <c r="C164" t="s">
        <v>17</v>
      </c>
      <c r="D164">
        <v>-2.8912072735953802</v>
      </c>
      <c r="E164">
        <v>-3.1953736756803002</v>
      </c>
      <c r="F164">
        <v>-2.58704087151047</v>
      </c>
      <c r="G164">
        <v>1201.83271949449</v>
      </c>
      <c r="H164">
        <v>1265.57240025493</v>
      </c>
      <c r="I164" t="s">
        <v>38</v>
      </c>
      <c r="J164" t="s">
        <v>88</v>
      </c>
      <c r="K164" t="s">
        <v>13</v>
      </c>
      <c r="L164" s="4" t="str">
        <f t="shared" si="2"/>
        <v>-2.89[-3.20,-2.59]</v>
      </c>
    </row>
    <row r="165" spans="1:12" x14ac:dyDescent="0.25">
      <c r="A165">
        <v>164</v>
      </c>
      <c r="B165" t="s">
        <v>45</v>
      </c>
      <c r="C165" t="s">
        <v>20</v>
      </c>
      <c r="D165">
        <v>-1.30999897441443</v>
      </c>
      <c r="E165">
        <v>-1.6563047561133399</v>
      </c>
      <c r="F165">
        <v>-0.963693192715527</v>
      </c>
      <c r="G165">
        <v>1201.83271949449</v>
      </c>
      <c r="H165">
        <v>1265.57240025493</v>
      </c>
      <c r="I165" t="s">
        <v>38</v>
      </c>
      <c r="J165" t="s">
        <v>88</v>
      </c>
      <c r="K165" t="s">
        <v>13</v>
      </c>
      <c r="L165" s="4" t="str">
        <f t="shared" si="2"/>
        <v>-1.31[-1.66,-0.96]</v>
      </c>
    </row>
    <row r="166" spans="1:12" x14ac:dyDescent="0.25">
      <c r="A166">
        <v>165</v>
      </c>
      <c r="B166" t="s">
        <v>92</v>
      </c>
      <c r="C166" t="s">
        <v>90</v>
      </c>
      <c r="D166">
        <v>15.595638415531999</v>
      </c>
      <c r="E166">
        <v>1.4971748058055201</v>
      </c>
      <c r="F166">
        <v>29.694102025258498</v>
      </c>
      <c r="G166">
        <v>1201.83271949449</v>
      </c>
      <c r="H166">
        <v>1265.57240025493</v>
      </c>
      <c r="I166" t="s">
        <v>38</v>
      </c>
      <c r="J166" t="s">
        <v>88</v>
      </c>
      <c r="K166" t="s">
        <v>13</v>
      </c>
      <c r="L166" s="4" t="str">
        <f t="shared" si="2"/>
        <v>15.60[1.50,29.69]</v>
      </c>
    </row>
    <row r="167" spans="1:12" x14ac:dyDescent="0.25">
      <c r="A167">
        <v>166</v>
      </c>
      <c r="B167" t="s">
        <v>39</v>
      </c>
      <c r="C167" t="s">
        <v>14</v>
      </c>
      <c r="D167">
        <v>-15.5576142170165</v>
      </c>
      <c r="E167">
        <v>-29.578607636203401</v>
      </c>
      <c r="F167">
        <v>-1.53662079782963</v>
      </c>
      <c r="G167">
        <v>1201.83271949449</v>
      </c>
      <c r="H167">
        <v>1265.57240025493</v>
      </c>
      <c r="I167" t="s">
        <v>38</v>
      </c>
      <c r="J167" t="s">
        <v>88</v>
      </c>
      <c r="K167" t="s">
        <v>13</v>
      </c>
      <c r="L167" s="4" t="str">
        <f t="shared" si="2"/>
        <v>-15.56[-29.58,-1.54]</v>
      </c>
    </row>
    <row r="168" spans="1:12" x14ac:dyDescent="0.25">
      <c r="A168">
        <v>167</v>
      </c>
      <c r="B168" t="s">
        <v>41</v>
      </c>
      <c r="C168" t="s">
        <v>16</v>
      </c>
      <c r="D168">
        <v>-0.24651163158022399</v>
      </c>
      <c r="E168">
        <v>-0.78315006981456503</v>
      </c>
      <c r="F168">
        <v>0.290126806654118</v>
      </c>
      <c r="G168">
        <v>1201.83271949449</v>
      </c>
      <c r="H168">
        <v>1265.57240025493</v>
      </c>
      <c r="I168" t="s">
        <v>38</v>
      </c>
      <c r="J168" t="s">
        <v>88</v>
      </c>
      <c r="K168" t="s">
        <v>13</v>
      </c>
      <c r="L168" s="4" t="str">
        <f t="shared" si="2"/>
        <v>-0.25[-0.78,0.29]</v>
      </c>
    </row>
    <row r="169" spans="1:12" x14ac:dyDescent="0.25">
      <c r="A169">
        <v>168</v>
      </c>
      <c r="B169" t="s">
        <v>44</v>
      </c>
      <c r="C169" t="s">
        <v>19</v>
      </c>
      <c r="D169">
        <v>-0.83925524708535404</v>
      </c>
      <c r="E169">
        <v>-1.1140219201531101</v>
      </c>
      <c r="F169">
        <v>-0.564488574017597</v>
      </c>
      <c r="G169">
        <v>1201.83271949449</v>
      </c>
      <c r="H169">
        <v>1265.57240025493</v>
      </c>
      <c r="I169" t="s">
        <v>38</v>
      </c>
      <c r="J169" t="s">
        <v>88</v>
      </c>
      <c r="K169" t="s">
        <v>13</v>
      </c>
      <c r="L169" s="4" t="str">
        <f t="shared" si="2"/>
        <v>-0.84[-1.11,-0.56]</v>
      </c>
    </row>
    <row r="170" spans="1:12" x14ac:dyDescent="0.25">
      <c r="A170">
        <v>169</v>
      </c>
      <c r="B170" t="s">
        <v>49</v>
      </c>
      <c r="C170" t="s">
        <v>24</v>
      </c>
      <c r="D170">
        <v>-0.417641270035984</v>
      </c>
      <c r="E170">
        <v>-1.2341099753332301</v>
      </c>
      <c r="F170">
        <v>0.39882743526125902</v>
      </c>
      <c r="G170">
        <v>1201.83271949449</v>
      </c>
      <c r="H170">
        <v>1265.57240025493</v>
      </c>
      <c r="I170" t="s">
        <v>38</v>
      </c>
      <c r="J170" t="s">
        <v>88</v>
      </c>
      <c r="K170" t="s">
        <v>13</v>
      </c>
      <c r="L170" s="4" t="str">
        <f t="shared" si="2"/>
        <v>-0.42[-1.23,0.40]</v>
      </c>
    </row>
    <row r="171" spans="1:12" x14ac:dyDescent="0.25">
      <c r="A171">
        <v>170</v>
      </c>
      <c r="B171" t="s">
        <v>59</v>
      </c>
      <c r="C171" t="s">
        <v>34</v>
      </c>
      <c r="D171">
        <v>-0.30067324192861999</v>
      </c>
      <c r="E171">
        <v>-0.63865642576313997</v>
      </c>
      <c r="F171">
        <v>3.7309941905899299E-2</v>
      </c>
      <c r="G171">
        <v>1201.83271949449</v>
      </c>
      <c r="H171">
        <v>1265.57240025493</v>
      </c>
      <c r="I171" t="s">
        <v>38</v>
      </c>
      <c r="J171" t="s">
        <v>88</v>
      </c>
      <c r="K171" t="s">
        <v>13</v>
      </c>
      <c r="L171" s="4" t="str">
        <f t="shared" si="2"/>
        <v>-0.30[-0.64,0.04]</v>
      </c>
    </row>
    <row r="172" spans="1:12" x14ac:dyDescent="0.25">
      <c r="A172">
        <v>171</v>
      </c>
      <c r="B172" t="s">
        <v>55</v>
      </c>
      <c r="C172" t="s">
        <v>30</v>
      </c>
      <c r="D172">
        <v>-1.09146830713079</v>
      </c>
      <c r="E172">
        <v>-2.1820636305112799</v>
      </c>
      <c r="F172">
        <v>-8.7298375030141998E-4</v>
      </c>
      <c r="G172">
        <v>1201.83271949449</v>
      </c>
      <c r="H172">
        <v>1265.57240025493</v>
      </c>
      <c r="I172" t="s">
        <v>38</v>
      </c>
      <c r="J172" t="s">
        <v>88</v>
      </c>
      <c r="K172" t="s">
        <v>13</v>
      </c>
      <c r="L172" s="4" t="str">
        <f t="shared" si="2"/>
        <v>-1.09[-2.18,0.00]</v>
      </c>
    </row>
    <row r="173" spans="1:12" x14ac:dyDescent="0.25">
      <c r="A173">
        <v>172</v>
      </c>
      <c r="B173" t="s">
        <v>61</v>
      </c>
      <c r="C173" t="s">
        <v>36</v>
      </c>
      <c r="D173">
        <v>-0.52923175027640801</v>
      </c>
      <c r="E173">
        <v>-0.79509513710829605</v>
      </c>
      <c r="F173">
        <v>-0.26336836344452103</v>
      </c>
      <c r="G173">
        <v>1201.83271949449</v>
      </c>
      <c r="H173">
        <v>1265.57240025493</v>
      </c>
      <c r="I173" t="s">
        <v>38</v>
      </c>
      <c r="J173" t="s">
        <v>88</v>
      </c>
      <c r="K173" t="s">
        <v>13</v>
      </c>
      <c r="L173" s="4" t="str">
        <f t="shared" si="2"/>
        <v>-0.53[-0.80,-0.26]</v>
      </c>
    </row>
    <row r="174" spans="1:12" x14ac:dyDescent="0.25">
      <c r="A174">
        <v>173</v>
      </c>
      <c r="B174" t="s">
        <v>52</v>
      </c>
      <c r="C174" t="s">
        <v>27</v>
      </c>
      <c r="D174">
        <v>-0.29660644128552799</v>
      </c>
      <c r="E174">
        <v>-0.58707852753760603</v>
      </c>
      <c r="F174">
        <v>-6.1343550334498299E-3</v>
      </c>
      <c r="G174">
        <v>1201.83271949449</v>
      </c>
      <c r="H174">
        <v>1265.57240025493</v>
      </c>
      <c r="I174" t="s">
        <v>38</v>
      </c>
      <c r="J174" t="s">
        <v>88</v>
      </c>
      <c r="K174" t="s">
        <v>13</v>
      </c>
      <c r="L174" s="4" t="str">
        <f t="shared" si="2"/>
        <v>-0.30[-0.59,-0.01]</v>
      </c>
    </row>
    <row r="175" spans="1:12" x14ac:dyDescent="0.25">
      <c r="A175">
        <v>174</v>
      </c>
      <c r="B175" t="s">
        <v>47</v>
      </c>
      <c r="C175" t="s">
        <v>22</v>
      </c>
      <c r="D175">
        <v>-0.289574416816684</v>
      </c>
      <c r="E175">
        <v>-1.3453542503866101</v>
      </c>
      <c r="F175">
        <v>0.76620541675324505</v>
      </c>
      <c r="G175">
        <v>1201.83271949449</v>
      </c>
      <c r="H175">
        <v>1265.57240025493</v>
      </c>
      <c r="I175" t="s">
        <v>38</v>
      </c>
      <c r="J175" t="s">
        <v>88</v>
      </c>
      <c r="K175" t="s">
        <v>13</v>
      </c>
      <c r="L175" s="4" t="str">
        <f t="shared" si="2"/>
        <v>-0.29[-1.35,0.77]</v>
      </c>
    </row>
    <row r="176" spans="1:12" x14ac:dyDescent="0.25">
      <c r="A176">
        <v>175</v>
      </c>
      <c r="B176" t="s">
        <v>48</v>
      </c>
      <c r="C176" t="s">
        <v>23</v>
      </c>
      <c r="D176">
        <v>-1.20141189422312</v>
      </c>
      <c r="E176">
        <v>-2.30475643330045</v>
      </c>
      <c r="F176">
        <v>-9.8067355145788696E-2</v>
      </c>
      <c r="G176">
        <v>1201.83271949449</v>
      </c>
      <c r="H176">
        <v>1265.57240025493</v>
      </c>
      <c r="I176" t="s">
        <v>38</v>
      </c>
      <c r="J176" t="s">
        <v>88</v>
      </c>
      <c r="K176" t="s">
        <v>13</v>
      </c>
      <c r="L176" s="4" t="str">
        <f t="shared" si="2"/>
        <v>-1.20[-2.30,-0.10]</v>
      </c>
    </row>
    <row r="177" spans="1:12" x14ac:dyDescent="0.25">
      <c r="A177">
        <v>176</v>
      </c>
      <c r="B177" t="s">
        <v>54</v>
      </c>
      <c r="C177" t="s">
        <v>29</v>
      </c>
      <c r="D177">
        <v>-0.419648056011315</v>
      </c>
      <c r="E177">
        <v>-0.74191815489317903</v>
      </c>
      <c r="F177">
        <v>-9.73779571294517E-2</v>
      </c>
      <c r="G177">
        <v>1201.83271949449</v>
      </c>
      <c r="H177">
        <v>1265.57240025493</v>
      </c>
      <c r="I177" t="s">
        <v>38</v>
      </c>
      <c r="J177" t="s">
        <v>88</v>
      </c>
      <c r="K177" t="s">
        <v>13</v>
      </c>
      <c r="L177" s="4" t="str">
        <f t="shared" si="2"/>
        <v>-0.42[-0.74,-0.10]</v>
      </c>
    </row>
    <row r="178" spans="1:12" x14ac:dyDescent="0.25">
      <c r="A178">
        <v>177</v>
      </c>
      <c r="B178" t="s">
        <v>62</v>
      </c>
      <c r="C178" t="s">
        <v>10</v>
      </c>
      <c r="D178">
        <v>64.362101910796198</v>
      </c>
      <c r="E178">
        <v>64.135476445620696</v>
      </c>
      <c r="F178">
        <v>64.588727375971601</v>
      </c>
      <c r="G178">
        <v>1356.58873727686</v>
      </c>
      <c r="H178">
        <v>1420.3284180373</v>
      </c>
      <c r="I178" t="s">
        <v>63</v>
      </c>
      <c r="J178" t="s">
        <v>88</v>
      </c>
      <c r="K178" t="s">
        <v>13</v>
      </c>
      <c r="L178" s="4" t="str">
        <f t="shared" si="2"/>
        <v>64.36[64.14,64.59]</v>
      </c>
    </row>
    <row r="179" spans="1:12" x14ac:dyDescent="0.25">
      <c r="A179">
        <v>178</v>
      </c>
      <c r="B179" t="s">
        <v>93</v>
      </c>
      <c r="C179" t="s">
        <v>89</v>
      </c>
      <c r="D179">
        <v>2.1683980457923</v>
      </c>
      <c r="E179">
        <v>0.49189957632053999</v>
      </c>
      <c r="F179">
        <v>3.84489651526405</v>
      </c>
      <c r="G179">
        <v>1356.58873727686</v>
      </c>
      <c r="H179">
        <v>1420.3284180373</v>
      </c>
      <c r="I179" t="s">
        <v>63</v>
      </c>
      <c r="J179" t="s">
        <v>88</v>
      </c>
      <c r="K179" t="s">
        <v>13</v>
      </c>
      <c r="L179" s="4" t="str">
        <f t="shared" si="2"/>
        <v>2.17[0.49,3.84]</v>
      </c>
    </row>
    <row r="180" spans="1:12" x14ac:dyDescent="0.25">
      <c r="A180">
        <v>179</v>
      </c>
      <c r="B180" t="s">
        <v>67</v>
      </c>
      <c r="C180" t="s">
        <v>17</v>
      </c>
      <c r="D180">
        <v>-2.72519880186299</v>
      </c>
      <c r="E180">
        <v>-3.1143631358574901</v>
      </c>
      <c r="F180">
        <v>-2.3360344678684899</v>
      </c>
      <c r="G180">
        <v>1356.58873727686</v>
      </c>
      <c r="H180">
        <v>1420.3284180373</v>
      </c>
      <c r="I180" t="s">
        <v>63</v>
      </c>
      <c r="J180" t="s">
        <v>88</v>
      </c>
      <c r="K180" t="s">
        <v>13</v>
      </c>
      <c r="L180" s="4" t="str">
        <f t="shared" si="2"/>
        <v>-2.73[-3.11,-2.34]</v>
      </c>
    </row>
    <row r="181" spans="1:12" x14ac:dyDescent="0.25">
      <c r="A181">
        <v>180</v>
      </c>
      <c r="B181" t="s">
        <v>70</v>
      </c>
      <c r="C181" t="s">
        <v>20</v>
      </c>
      <c r="D181">
        <v>-1.65692184875408</v>
      </c>
      <c r="E181">
        <v>-2.10000122231249</v>
      </c>
      <c r="F181">
        <v>-1.21384247519567</v>
      </c>
      <c r="G181">
        <v>1356.58873727686</v>
      </c>
      <c r="H181">
        <v>1420.3284180373</v>
      </c>
      <c r="I181" t="s">
        <v>63</v>
      </c>
      <c r="J181" t="s">
        <v>88</v>
      </c>
      <c r="K181" t="s">
        <v>13</v>
      </c>
      <c r="L181" s="4" t="str">
        <f t="shared" si="2"/>
        <v>-1.66[-2.10,-1.21]</v>
      </c>
    </row>
    <row r="182" spans="1:12" x14ac:dyDescent="0.25">
      <c r="A182">
        <v>181</v>
      </c>
      <c r="B182" t="s">
        <v>94</v>
      </c>
      <c r="C182" t="s">
        <v>90</v>
      </c>
      <c r="D182">
        <v>22.1292224134463</v>
      </c>
      <c r="E182">
        <v>4.0910066098045901</v>
      </c>
      <c r="F182">
        <v>40.167438217087998</v>
      </c>
      <c r="G182">
        <v>1356.58873727686</v>
      </c>
      <c r="H182">
        <v>1420.3284180373</v>
      </c>
      <c r="I182" t="s">
        <v>63</v>
      </c>
      <c r="J182" t="s">
        <v>88</v>
      </c>
      <c r="K182" t="s">
        <v>13</v>
      </c>
      <c r="L182" s="4" t="str">
        <f t="shared" si="2"/>
        <v>22.13[4.09,40.17]</v>
      </c>
    </row>
    <row r="183" spans="1:12" x14ac:dyDescent="0.25">
      <c r="A183">
        <v>182</v>
      </c>
      <c r="B183" t="s">
        <v>64</v>
      </c>
      <c r="C183" t="s">
        <v>14</v>
      </c>
      <c r="D183">
        <v>-21.126841389041701</v>
      </c>
      <c r="E183">
        <v>-39.065938306116401</v>
      </c>
      <c r="F183">
        <v>-3.1877444719670902</v>
      </c>
      <c r="G183">
        <v>1356.58873727686</v>
      </c>
      <c r="H183">
        <v>1420.3284180373</v>
      </c>
      <c r="I183" t="s">
        <v>63</v>
      </c>
      <c r="J183" t="s">
        <v>88</v>
      </c>
      <c r="K183" t="s">
        <v>13</v>
      </c>
      <c r="L183" s="4" t="str">
        <f t="shared" si="2"/>
        <v>-21.13[-39.07,-3.19]</v>
      </c>
    </row>
    <row r="184" spans="1:12" x14ac:dyDescent="0.25">
      <c r="A184">
        <v>183</v>
      </c>
      <c r="B184" t="s">
        <v>66</v>
      </c>
      <c r="C184" t="s">
        <v>16</v>
      </c>
      <c r="D184">
        <v>4.2193945040348103E-2</v>
      </c>
      <c r="E184">
        <v>-0.64440568917242602</v>
      </c>
      <c r="F184">
        <v>0.72879357925312205</v>
      </c>
      <c r="G184">
        <v>1356.58873727686</v>
      </c>
      <c r="H184">
        <v>1420.3284180373</v>
      </c>
      <c r="I184" t="s">
        <v>63</v>
      </c>
      <c r="J184" t="s">
        <v>88</v>
      </c>
      <c r="K184" t="s">
        <v>13</v>
      </c>
      <c r="L184" s="4" t="str">
        <f t="shared" si="2"/>
        <v>0.04[-0.64,0.73]</v>
      </c>
    </row>
    <row r="185" spans="1:12" x14ac:dyDescent="0.25">
      <c r="A185">
        <v>184</v>
      </c>
      <c r="B185" t="s">
        <v>69</v>
      </c>
      <c r="C185" t="s">
        <v>19</v>
      </c>
      <c r="D185">
        <v>-1.9449851249249901</v>
      </c>
      <c r="E185">
        <v>-2.2965341079663402</v>
      </c>
      <c r="F185">
        <v>-1.59343614188363</v>
      </c>
      <c r="G185">
        <v>1356.58873727686</v>
      </c>
      <c r="H185">
        <v>1420.3284180373</v>
      </c>
      <c r="I185" t="s">
        <v>63</v>
      </c>
      <c r="J185" t="s">
        <v>88</v>
      </c>
      <c r="K185" t="s">
        <v>13</v>
      </c>
      <c r="L185" s="4" t="str">
        <f t="shared" si="2"/>
        <v>-1.94[-2.30,-1.59]</v>
      </c>
    </row>
    <row r="186" spans="1:12" x14ac:dyDescent="0.25">
      <c r="A186">
        <v>185</v>
      </c>
      <c r="B186" t="s">
        <v>74</v>
      </c>
      <c r="C186" t="s">
        <v>24</v>
      </c>
      <c r="D186">
        <v>-0.57061637597420101</v>
      </c>
      <c r="E186">
        <v>-1.61524358577251</v>
      </c>
      <c r="F186">
        <v>0.47401083382411202</v>
      </c>
      <c r="G186">
        <v>1356.58873727686</v>
      </c>
      <c r="H186">
        <v>1420.3284180373</v>
      </c>
      <c r="I186" t="s">
        <v>63</v>
      </c>
      <c r="J186" t="s">
        <v>88</v>
      </c>
      <c r="K186" t="s">
        <v>13</v>
      </c>
      <c r="L186" s="4" t="str">
        <f t="shared" si="2"/>
        <v>-0.57[-1.62,0.47]</v>
      </c>
    </row>
    <row r="187" spans="1:12" x14ac:dyDescent="0.25">
      <c r="A187">
        <v>186</v>
      </c>
      <c r="B187" t="s">
        <v>84</v>
      </c>
      <c r="C187" t="s">
        <v>34</v>
      </c>
      <c r="D187">
        <v>-0.654108941838354</v>
      </c>
      <c r="E187">
        <v>-1.08654000502193</v>
      </c>
      <c r="F187">
        <v>-0.221677878654778</v>
      </c>
      <c r="G187">
        <v>1356.58873727686</v>
      </c>
      <c r="H187">
        <v>1420.3284180373</v>
      </c>
      <c r="I187" t="s">
        <v>63</v>
      </c>
      <c r="J187" t="s">
        <v>88</v>
      </c>
      <c r="K187" t="s">
        <v>13</v>
      </c>
      <c r="L187" s="4" t="str">
        <f t="shared" si="2"/>
        <v>-0.65[-1.09,-0.22]</v>
      </c>
    </row>
    <row r="188" spans="1:12" x14ac:dyDescent="0.25">
      <c r="A188">
        <v>187</v>
      </c>
      <c r="B188" t="s">
        <v>80</v>
      </c>
      <c r="C188" t="s">
        <v>30</v>
      </c>
      <c r="D188">
        <v>-1.88347367598271</v>
      </c>
      <c r="E188">
        <v>-3.2788309533535398</v>
      </c>
      <c r="F188">
        <v>-0.488116398611875</v>
      </c>
      <c r="G188">
        <v>1356.58873727686</v>
      </c>
      <c r="H188">
        <v>1420.3284180373</v>
      </c>
      <c r="I188" t="s">
        <v>63</v>
      </c>
      <c r="J188" t="s">
        <v>88</v>
      </c>
      <c r="K188" t="s">
        <v>13</v>
      </c>
      <c r="L188" s="4" t="str">
        <f t="shared" si="2"/>
        <v>-1.88[-3.28,-0.49]</v>
      </c>
    </row>
    <row r="189" spans="1:12" x14ac:dyDescent="0.25">
      <c r="A189">
        <v>188</v>
      </c>
      <c r="B189" t="s">
        <v>86</v>
      </c>
      <c r="C189" t="s">
        <v>36</v>
      </c>
      <c r="D189">
        <v>-0.54870883430564499</v>
      </c>
      <c r="E189">
        <v>-0.88886654784913499</v>
      </c>
      <c r="F189">
        <v>-0.20855112076215401</v>
      </c>
      <c r="G189">
        <v>1356.58873727686</v>
      </c>
      <c r="H189">
        <v>1420.3284180373</v>
      </c>
      <c r="I189" t="s">
        <v>63</v>
      </c>
      <c r="J189" t="s">
        <v>88</v>
      </c>
      <c r="K189" t="s">
        <v>13</v>
      </c>
      <c r="L189" s="4" t="str">
        <f t="shared" si="2"/>
        <v>-0.55[-0.89,-0.21]</v>
      </c>
    </row>
    <row r="190" spans="1:12" x14ac:dyDescent="0.25">
      <c r="A190">
        <v>189</v>
      </c>
      <c r="B190" t="s">
        <v>77</v>
      </c>
      <c r="C190" t="s">
        <v>27</v>
      </c>
      <c r="D190">
        <v>-0.31154749823935102</v>
      </c>
      <c r="E190">
        <v>-0.68319070148415295</v>
      </c>
      <c r="F190">
        <v>6.0095705005450299E-2</v>
      </c>
      <c r="G190">
        <v>1356.58873727686</v>
      </c>
      <c r="H190">
        <v>1420.3284180373</v>
      </c>
      <c r="I190" t="s">
        <v>63</v>
      </c>
      <c r="J190" t="s">
        <v>88</v>
      </c>
      <c r="K190" t="s">
        <v>13</v>
      </c>
      <c r="L190" s="4" t="str">
        <f t="shared" si="2"/>
        <v>-0.31[-0.68,0.06]</v>
      </c>
    </row>
    <row r="191" spans="1:12" x14ac:dyDescent="0.25">
      <c r="A191">
        <v>190</v>
      </c>
      <c r="B191" t="s">
        <v>72</v>
      </c>
      <c r="C191" t="s">
        <v>22</v>
      </c>
      <c r="D191">
        <v>-0.701467254210145</v>
      </c>
      <c r="E191">
        <v>-2.0522800098588299</v>
      </c>
      <c r="F191">
        <v>0.64934550143853798</v>
      </c>
      <c r="G191">
        <v>1356.58873727686</v>
      </c>
      <c r="H191">
        <v>1420.3284180373</v>
      </c>
      <c r="I191" t="s">
        <v>63</v>
      </c>
      <c r="J191" t="s">
        <v>88</v>
      </c>
      <c r="K191" t="s">
        <v>13</v>
      </c>
      <c r="L191" s="4" t="str">
        <f t="shared" si="2"/>
        <v>-0.70[-2.05,0.65]</v>
      </c>
    </row>
    <row r="192" spans="1:12" x14ac:dyDescent="0.25">
      <c r="A192">
        <v>191</v>
      </c>
      <c r="B192" t="s">
        <v>73</v>
      </c>
      <c r="C192" t="s">
        <v>23</v>
      </c>
      <c r="D192">
        <v>0.435108847864077</v>
      </c>
      <c r="E192">
        <v>-0.97656035614166103</v>
      </c>
      <c r="F192">
        <v>1.84677805186981</v>
      </c>
      <c r="G192">
        <v>1356.58873727686</v>
      </c>
      <c r="H192">
        <v>1420.3284180373</v>
      </c>
      <c r="I192" t="s">
        <v>63</v>
      </c>
      <c r="J192" t="s">
        <v>88</v>
      </c>
      <c r="K192" t="s">
        <v>13</v>
      </c>
      <c r="L192" s="4" t="str">
        <f t="shared" si="2"/>
        <v>0.44[-0.98,1.85]</v>
      </c>
    </row>
    <row r="193" spans="1:12" x14ac:dyDescent="0.25">
      <c r="A193">
        <v>192</v>
      </c>
      <c r="B193" t="s">
        <v>79</v>
      </c>
      <c r="C193" t="s">
        <v>29</v>
      </c>
      <c r="D193">
        <v>-0.56519048091442303</v>
      </c>
      <c r="E193">
        <v>-0.97751750828508699</v>
      </c>
      <c r="F193">
        <v>-0.15286345354375899</v>
      </c>
      <c r="G193">
        <v>1356.58873727686</v>
      </c>
      <c r="H193">
        <v>1420.3284180373</v>
      </c>
      <c r="I193" t="s">
        <v>63</v>
      </c>
      <c r="J193" t="s">
        <v>88</v>
      </c>
      <c r="K193" t="s">
        <v>13</v>
      </c>
      <c r="L193" s="4" t="str">
        <f t="shared" si="2"/>
        <v>-0.57[-0.98,-0.15]</v>
      </c>
    </row>
    <row r="194" spans="1:12" x14ac:dyDescent="0.25">
      <c r="A194">
        <v>193</v>
      </c>
      <c r="B194">
        <v>1</v>
      </c>
      <c r="C194" t="s">
        <v>10</v>
      </c>
      <c r="D194">
        <v>82.6626654930201</v>
      </c>
      <c r="E194">
        <v>82.346209337700699</v>
      </c>
      <c r="F194">
        <v>82.9791216483395</v>
      </c>
      <c r="G194">
        <v>1214.73369699819</v>
      </c>
      <c r="H194">
        <v>1282.22277074454</v>
      </c>
      <c r="I194" t="s">
        <v>11</v>
      </c>
      <c r="J194" t="s">
        <v>88</v>
      </c>
      <c r="K194" t="s">
        <v>87</v>
      </c>
      <c r="L194" s="4" t="str">
        <f t="shared" si="2"/>
        <v>82.66[82.35,82.98]</v>
      </c>
    </row>
    <row r="195" spans="1:12" x14ac:dyDescent="0.25">
      <c r="A195">
        <v>194</v>
      </c>
      <c r="B195">
        <v>2</v>
      </c>
      <c r="C195" t="s">
        <v>89</v>
      </c>
      <c r="D195">
        <v>2.6473580250128501</v>
      </c>
      <c r="E195">
        <v>1.3392436447032601</v>
      </c>
      <c r="F195">
        <v>3.9554724053224302</v>
      </c>
      <c r="G195">
        <v>1214.73369699819</v>
      </c>
      <c r="H195">
        <v>1282.22277074454</v>
      </c>
      <c r="I195" t="s">
        <v>11</v>
      </c>
      <c r="J195" t="s">
        <v>88</v>
      </c>
      <c r="K195" t="s">
        <v>87</v>
      </c>
      <c r="L195" s="4" t="str">
        <f t="shared" ref="L195:L258" si="3">TEXT(ROUND(D195,2),"0.00") &amp; "[" &amp; TEXT(ROUND(E195,2),"0.00") &amp; "," &amp; TEXT(ROUND(F195,2),"0.00") &amp; "]"</f>
        <v>2.65[1.34,3.96]</v>
      </c>
    </row>
    <row r="196" spans="1:12" x14ac:dyDescent="0.25">
      <c r="A196">
        <v>195</v>
      </c>
      <c r="B196">
        <v>3</v>
      </c>
      <c r="C196" t="s">
        <v>17</v>
      </c>
      <c r="D196">
        <v>-2.8156086604425701</v>
      </c>
      <c r="E196">
        <v>-3.1193733534544799</v>
      </c>
      <c r="F196">
        <v>-2.5118439674306599</v>
      </c>
      <c r="G196">
        <v>1214.73369699819</v>
      </c>
      <c r="H196">
        <v>1282.22277074454</v>
      </c>
      <c r="I196" t="s">
        <v>11</v>
      </c>
      <c r="J196" t="s">
        <v>88</v>
      </c>
      <c r="K196" t="s">
        <v>87</v>
      </c>
      <c r="L196" s="4" t="str">
        <f t="shared" si="3"/>
        <v>-2.82[-3.12,-2.51]</v>
      </c>
    </row>
    <row r="197" spans="1:12" x14ac:dyDescent="0.25">
      <c r="A197">
        <v>196</v>
      </c>
      <c r="B197">
        <v>4</v>
      </c>
      <c r="C197" t="s">
        <v>20</v>
      </c>
      <c r="D197">
        <v>-1.2967168327241201</v>
      </c>
      <c r="E197">
        <v>-1.6406450182482699</v>
      </c>
      <c r="F197">
        <v>-0.95278864719996703</v>
      </c>
      <c r="G197">
        <v>1214.73369699819</v>
      </c>
      <c r="H197">
        <v>1282.22277074454</v>
      </c>
      <c r="I197" t="s">
        <v>11</v>
      </c>
      <c r="J197" t="s">
        <v>88</v>
      </c>
      <c r="K197" t="s">
        <v>87</v>
      </c>
      <c r="L197" s="4" t="str">
        <f t="shared" si="3"/>
        <v>-1.30[-1.64,-0.95]</v>
      </c>
    </row>
    <row r="198" spans="1:12" x14ac:dyDescent="0.25">
      <c r="A198">
        <v>197</v>
      </c>
      <c r="B198">
        <v>5</v>
      </c>
      <c r="C198" t="s">
        <v>90</v>
      </c>
      <c r="D198">
        <v>9.1244038378223795</v>
      </c>
      <c r="E198">
        <v>-4.7201746930723401</v>
      </c>
      <c r="F198">
        <v>22.9689823687171</v>
      </c>
      <c r="G198">
        <v>1214.73369699819</v>
      </c>
      <c r="H198">
        <v>1282.22277074454</v>
      </c>
      <c r="I198" t="s">
        <v>11</v>
      </c>
      <c r="J198" t="s">
        <v>88</v>
      </c>
      <c r="K198" t="s">
        <v>87</v>
      </c>
      <c r="L198" s="4" t="str">
        <f t="shared" si="3"/>
        <v>9.12[-4.72,22.97]</v>
      </c>
    </row>
    <row r="199" spans="1:12" x14ac:dyDescent="0.25">
      <c r="A199">
        <v>198</v>
      </c>
      <c r="B199">
        <v>6</v>
      </c>
      <c r="C199" t="s">
        <v>14</v>
      </c>
      <c r="D199">
        <v>-9.0583866232943606</v>
      </c>
      <c r="E199">
        <v>-22.820217450636299</v>
      </c>
      <c r="F199">
        <v>4.7034442040475799</v>
      </c>
      <c r="G199">
        <v>1214.73369699819</v>
      </c>
      <c r="H199">
        <v>1282.22277074454</v>
      </c>
      <c r="I199" t="s">
        <v>11</v>
      </c>
      <c r="J199" t="s">
        <v>88</v>
      </c>
      <c r="K199" t="s">
        <v>87</v>
      </c>
      <c r="L199" s="4" t="str">
        <f t="shared" si="3"/>
        <v>-9.06[-22.82,4.70]</v>
      </c>
    </row>
    <row r="200" spans="1:12" x14ac:dyDescent="0.25">
      <c r="A200">
        <v>199</v>
      </c>
      <c r="B200">
        <v>7</v>
      </c>
      <c r="C200" t="s">
        <v>16</v>
      </c>
      <c r="D200">
        <v>-0.24281540795121201</v>
      </c>
      <c r="E200">
        <v>-0.78188200036297595</v>
      </c>
      <c r="F200">
        <v>0.29625118446055199</v>
      </c>
      <c r="G200">
        <v>1214.73369699819</v>
      </c>
      <c r="H200">
        <v>1282.22277074454</v>
      </c>
      <c r="I200" t="s">
        <v>11</v>
      </c>
      <c r="J200" t="s">
        <v>88</v>
      </c>
      <c r="K200" t="s">
        <v>87</v>
      </c>
      <c r="L200" s="4" t="str">
        <f t="shared" si="3"/>
        <v>-0.24[-0.78,0.30]</v>
      </c>
    </row>
    <row r="201" spans="1:12" x14ac:dyDescent="0.25">
      <c r="A201">
        <v>200</v>
      </c>
      <c r="B201">
        <v>8</v>
      </c>
      <c r="C201" t="s">
        <v>19</v>
      </c>
      <c r="D201">
        <v>-0.71678213705439997</v>
      </c>
      <c r="E201">
        <v>-0.98671186387408905</v>
      </c>
      <c r="F201">
        <v>-0.44685241023471201</v>
      </c>
      <c r="G201">
        <v>1214.73369699819</v>
      </c>
      <c r="H201">
        <v>1282.22277074454</v>
      </c>
      <c r="I201" t="s">
        <v>11</v>
      </c>
      <c r="J201" t="s">
        <v>88</v>
      </c>
      <c r="K201" t="s">
        <v>87</v>
      </c>
      <c r="L201" s="4" t="str">
        <f t="shared" si="3"/>
        <v>-0.72[-0.99,-0.45]</v>
      </c>
    </row>
    <row r="202" spans="1:12" x14ac:dyDescent="0.25">
      <c r="A202">
        <v>201</v>
      </c>
      <c r="B202">
        <v>9</v>
      </c>
      <c r="C202" t="s">
        <v>24</v>
      </c>
      <c r="D202">
        <v>-0.36323534981799699</v>
      </c>
      <c r="E202">
        <v>-1.1971154996222599</v>
      </c>
      <c r="F202">
        <v>0.47064479998626202</v>
      </c>
      <c r="G202">
        <v>1214.73369699819</v>
      </c>
      <c r="H202">
        <v>1282.22277074454</v>
      </c>
      <c r="I202" t="s">
        <v>11</v>
      </c>
      <c r="J202" t="s">
        <v>88</v>
      </c>
      <c r="K202" t="s">
        <v>87</v>
      </c>
      <c r="L202" s="4" t="str">
        <f t="shared" si="3"/>
        <v>-0.36[-1.20,0.47]</v>
      </c>
    </row>
    <row r="203" spans="1:12" x14ac:dyDescent="0.25">
      <c r="A203">
        <v>202</v>
      </c>
      <c r="B203">
        <v>10</v>
      </c>
      <c r="C203" t="s">
        <v>34</v>
      </c>
      <c r="D203">
        <v>-0.29748728689786502</v>
      </c>
      <c r="E203">
        <v>-0.63774482037451297</v>
      </c>
      <c r="F203">
        <v>4.2770246578783602E-2</v>
      </c>
      <c r="G203">
        <v>1214.73369699819</v>
      </c>
      <c r="H203">
        <v>1282.22277074454</v>
      </c>
      <c r="I203" t="s">
        <v>11</v>
      </c>
      <c r="J203" t="s">
        <v>88</v>
      </c>
      <c r="K203" t="s">
        <v>87</v>
      </c>
      <c r="L203" s="4" t="str">
        <f t="shared" si="3"/>
        <v>-0.30[-0.64,0.04]</v>
      </c>
    </row>
    <row r="204" spans="1:12" x14ac:dyDescent="0.25">
      <c r="A204">
        <v>203</v>
      </c>
      <c r="B204">
        <v>11</v>
      </c>
      <c r="C204" t="s">
        <v>30</v>
      </c>
      <c r="D204">
        <v>-0.99868435606100703</v>
      </c>
      <c r="E204">
        <v>-2.07546360238711</v>
      </c>
      <c r="F204">
        <v>7.8094890265100997E-2</v>
      </c>
      <c r="G204">
        <v>1214.73369699819</v>
      </c>
      <c r="H204">
        <v>1282.22277074454</v>
      </c>
      <c r="I204" t="s">
        <v>11</v>
      </c>
      <c r="J204" t="s">
        <v>88</v>
      </c>
      <c r="K204" t="s">
        <v>87</v>
      </c>
      <c r="L204" s="4" t="str">
        <f t="shared" si="3"/>
        <v>-1.00[-2.08,0.08]</v>
      </c>
    </row>
    <row r="205" spans="1:12" x14ac:dyDescent="0.25">
      <c r="A205">
        <v>204</v>
      </c>
      <c r="B205">
        <v>12</v>
      </c>
      <c r="C205" t="s">
        <v>36</v>
      </c>
      <c r="D205">
        <v>-0.47162796192277601</v>
      </c>
      <c r="E205">
        <v>-0.74441550358058795</v>
      </c>
      <c r="F205">
        <v>-0.19884042026496401</v>
      </c>
      <c r="G205">
        <v>1214.73369699819</v>
      </c>
      <c r="H205">
        <v>1282.22277074454</v>
      </c>
      <c r="I205" t="s">
        <v>11</v>
      </c>
      <c r="J205" t="s">
        <v>88</v>
      </c>
      <c r="K205" t="s">
        <v>87</v>
      </c>
      <c r="L205" s="4" t="str">
        <f t="shared" si="3"/>
        <v>-0.47[-0.74,-0.20]</v>
      </c>
    </row>
    <row r="206" spans="1:12" x14ac:dyDescent="0.25">
      <c r="A206">
        <v>205</v>
      </c>
      <c r="B206">
        <v>13</v>
      </c>
      <c r="C206" t="s">
        <v>27</v>
      </c>
      <c r="D206">
        <v>-0.26325201156518102</v>
      </c>
      <c r="E206">
        <v>-0.547841128890726</v>
      </c>
      <c r="F206">
        <v>2.1337105760363601E-2</v>
      </c>
      <c r="G206">
        <v>1214.73369699819</v>
      </c>
      <c r="H206">
        <v>1282.22277074454</v>
      </c>
      <c r="I206" t="s">
        <v>11</v>
      </c>
      <c r="J206" t="s">
        <v>88</v>
      </c>
      <c r="K206" t="s">
        <v>87</v>
      </c>
      <c r="L206" s="4" t="str">
        <f t="shared" si="3"/>
        <v>-0.26[-0.55,0.02]</v>
      </c>
    </row>
    <row r="207" spans="1:12" x14ac:dyDescent="0.25">
      <c r="A207">
        <v>206</v>
      </c>
      <c r="B207">
        <v>14</v>
      </c>
      <c r="C207" t="s">
        <v>22</v>
      </c>
      <c r="D207">
        <v>-5.1924764472971702E-2</v>
      </c>
      <c r="E207">
        <v>-1.09487708682191</v>
      </c>
      <c r="F207">
        <v>0.99102755787597097</v>
      </c>
      <c r="G207">
        <v>1214.73369699819</v>
      </c>
      <c r="H207">
        <v>1282.22277074454</v>
      </c>
      <c r="I207" t="s">
        <v>11</v>
      </c>
      <c r="J207" t="s">
        <v>88</v>
      </c>
      <c r="K207" t="s">
        <v>87</v>
      </c>
      <c r="L207" s="4" t="str">
        <f t="shared" si="3"/>
        <v>-0.05[-1.09,0.99]</v>
      </c>
    </row>
    <row r="208" spans="1:12" x14ac:dyDescent="0.25">
      <c r="A208">
        <v>207</v>
      </c>
      <c r="B208">
        <v>15</v>
      </c>
      <c r="C208" t="s">
        <v>23</v>
      </c>
      <c r="D208">
        <v>-1.11935772277418</v>
      </c>
      <c r="E208">
        <v>-2.2196177401464898</v>
      </c>
      <c r="F208">
        <v>-1.9097705401882201E-2</v>
      </c>
      <c r="G208">
        <v>1214.73369699819</v>
      </c>
      <c r="H208">
        <v>1282.22277074454</v>
      </c>
      <c r="I208" t="s">
        <v>11</v>
      </c>
      <c r="J208" t="s">
        <v>88</v>
      </c>
      <c r="K208" t="s">
        <v>87</v>
      </c>
      <c r="L208" s="4" t="str">
        <f t="shared" si="3"/>
        <v>-1.12[-2.22,-0.02]</v>
      </c>
    </row>
    <row r="209" spans="1:12" x14ac:dyDescent="0.25">
      <c r="A209">
        <v>208</v>
      </c>
      <c r="B209">
        <v>16</v>
      </c>
      <c r="C209" t="s">
        <v>29</v>
      </c>
      <c r="D209">
        <v>-0.36234036077833698</v>
      </c>
      <c r="E209">
        <v>-0.70792936301443998</v>
      </c>
      <c r="F209">
        <v>-1.67513585422349E-2</v>
      </c>
      <c r="G209">
        <v>1214.73369699819</v>
      </c>
      <c r="H209">
        <v>1282.22277074454</v>
      </c>
      <c r="I209" t="s">
        <v>11</v>
      </c>
      <c r="J209" t="s">
        <v>88</v>
      </c>
      <c r="K209" t="s">
        <v>87</v>
      </c>
      <c r="L209" s="4" t="str">
        <f t="shared" si="3"/>
        <v>-0.36[-0.71,-0.02]</v>
      </c>
    </row>
    <row r="210" spans="1:12" x14ac:dyDescent="0.25">
      <c r="A210">
        <v>209</v>
      </c>
      <c r="B210">
        <v>17</v>
      </c>
      <c r="C210" t="s">
        <v>10</v>
      </c>
      <c r="D210">
        <v>79.327962902898804</v>
      </c>
      <c r="E210">
        <v>79.040504867359502</v>
      </c>
      <c r="F210">
        <v>79.615420938438106</v>
      </c>
      <c r="G210">
        <v>1224.1612918880501</v>
      </c>
      <c r="H210">
        <v>1291.6503656344</v>
      </c>
      <c r="I210" t="s">
        <v>38</v>
      </c>
      <c r="J210" t="s">
        <v>88</v>
      </c>
      <c r="K210" t="s">
        <v>87</v>
      </c>
      <c r="L210" s="4" t="str">
        <f t="shared" si="3"/>
        <v>79.33[79.04,79.62]</v>
      </c>
    </row>
    <row r="211" spans="1:12" x14ac:dyDescent="0.25">
      <c r="A211">
        <v>210</v>
      </c>
      <c r="B211">
        <v>18</v>
      </c>
      <c r="C211" t="s">
        <v>89</v>
      </c>
      <c r="D211">
        <v>2.87735996259855</v>
      </c>
      <c r="E211">
        <v>1.5521185238155599</v>
      </c>
      <c r="F211">
        <v>4.2026014013815303</v>
      </c>
      <c r="G211">
        <v>1224.1612918880501</v>
      </c>
      <c r="H211">
        <v>1291.6503656344</v>
      </c>
      <c r="I211" t="s">
        <v>38</v>
      </c>
      <c r="J211" t="s">
        <v>88</v>
      </c>
      <c r="K211" t="s">
        <v>87</v>
      </c>
      <c r="L211" s="4" t="str">
        <f t="shared" si="3"/>
        <v>2.88[1.55,4.20]</v>
      </c>
    </row>
    <row r="212" spans="1:12" x14ac:dyDescent="0.25">
      <c r="A212">
        <v>211</v>
      </c>
      <c r="B212">
        <v>19</v>
      </c>
      <c r="C212" t="s">
        <v>17</v>
      </c>
      <c r="D212">
        <v>-2.8749012998751899</v>
      </c>
      <c r="E212">
        <v>-3.1820605544039502</v>
      </c>
      <c r="F212">
        <v>-2.5677420453464199</v>
      </c>
      <c r="G212">
        <v>1224.1612918880501</v>
      </c>
      <c r="H212">
        <v>1291.6503656344</v>
      </c>
      <c r="I212" t="s">
        <v>38</v>
      </c>
      <c r="J212" t="s">
        <v>88</v>
      </c>
      <c r="K212" t="s">
        <v>87</v>
      </c>
      <c r="L212" s="4" t="str">
        <f t="shared" si="3"/>
        <v>-2.87[-3.18,-2.57]</v>
      </c>
    </row>
    <row r="213" spans="1:12" x14ac:dyDescent="0.25">
      <c r="A213">
        <v>212</v>
      </c>
      <c r="B213">
        <v>20</v>
      </c>
      <c r="C213" t="s">
        <v>20</v>
      </c>
      <c r="D213">
        <v>-1.28741456402901</v>
      </c>
      <c r="E213">
        <v>-1.6357039304451</v>
      </c>
      <c r="F213">
        <v>-0.93912519761292501</v>
      </c>
      <c r="G213">
        <v>1224.1612918880501</v>
      </c>
      <c r="H213">
        <v>1291.6503656344</v>
      </c>
      <c r="I213" t="s">
        <v>38</v>
      </c>
      <c r="J213" t="s">
        <v>88</v>
      </c>
      <c r="K213" t="s">
        <v>87</v>
      </c>
      <c r="L213" s="4" t="str">
        <f t="shared" si="3"/>
        <v>-1.29[-1.64,-0.94]</v>
      </c>
    </row>
    <row r="214" spans="1:12" x14ac:dyDescent="0.25">
      <c r="A214">
        <v>213</v>
      </c>
      <c r="B214">
        <v>21</v>
      </c>
      <c r="C214" t="s">
        <v>90</v>
      </c>
      <c r="D214">
        <v>14.9411578721545</v>
      </c>
      <c r="E214">
        <v>0.86457670998658598</v>
      </c>
      <c r="F214">
        <v>29.0177390343224</v>
      </c>
      <c r="G214">
        <v>1224.1612918880501</v>
      </c>
      <c r="H214">
        <v>1291.6503656344</v>
      </c>
      <c r="I214" t="s">
        <v>38</v>
      </c>
      <c r="J214" t="s">
        <v>88</v>
      </c>
      <c r="K214" t="s">
        <v>87</v>
      </c>
      <c r="L214" s="4" t="str">
        <f t="shared" si="3"/>
        <v>14.94[0.86,29.02]</v>
      </c>
    </row>
    <row r="215" spans="1:12" x14ac:dyDescent="0.25">
      <c r="A215">
        <v>214</v>
      </c>
      <c r="B215">
        <v>22</v>
      </c>
      <c r="C215" t="s">
        <v>14</v>
      </c>
      <c r="D215">
        <v>-14.935775321260801</v>
      </c>
      <c r="E215">
        <v>-28.929956539803801</v>
      </c>
      <c r="F215">
        <v>-0.94159410271789001</v>
      </c>
      <c r="G215">
        <v>1224.1612918880501</v>
      </c>
      <c r="H215">
        <v>1291.6503656344</v>
      </c>
      <c r="I215" t="s">
        <v>38</v>
      </c>
      <c r="J215" t="s">
        <v>88</v>
      </c>
      <c r="K215" t="s">
        <v>87</v>
      </c>
      <c r="L215" s="4" t="str">
        <f t="shared" si="3"/>
        <v>-14.94[-28.93,-0.94]</v>
      </c>
    </row>
    <row r="216" spans="1:12" x14ac:dyDescent="0.25">
      <c r="A216">
        <v>215</v>
      </c>
      <c r="B216">
        <v>23</v>
      </c>
      <c r="C216" t="s">
        <v>16</v>
      </c>
      <c r="D216">
        <v>-0.26063995248103899</v>
      </c>
      <c r="E216">
        <v>-0.80489743943040204</v>
      </c>
      <c r="F216">
        <v>0.283617534468324</v>
      </c>
      <c r="G216">
        <v>1224.1612918880501</v>
      </c>
      <c r="H216">
        <v>1291.6503656344</v>
      </c>
      <c r="I216" t="s">
        <v>38</v>
      </c>
      <c r="J216" t="s">
        <v>88</v>
      </c>
      <c r="K216" t="s">
        <v>87</v>
      </c>
      <c r="L216" s="4" t="str">
        <f t="shared" si="3"/>
        <v>-0.26[-0.80,0.28]</v>
      </c>
    </row>
    <row r="217" spans="1:12" x14ac:dyDescent="0.25">
      <c r="A217">
        <v>216</v>
      </c>
      <c r="B217">
        <v>24</v>
      </c>
      <c r="C217" t="s">
        <v>19</v>
      </c>
      <c r="D217">
        <v>-0.82769082393613802</v>
      </c>
      <c r="E217">
        <v>-1.10206163553877</v>
      </c>
      <c r="F217">
        <v>-0.55332001233350203</v>
      </c>
      <c r="G217">
        <v>1224.1612918880501</v>
      </c>
      <c r="H217">
        <v>1291.6503656344</v>
      </c>
      <c r="I217" t="s">
        <v>38</v>
      </c>
      <c r="J217" t="s">
        <v>88</v>
      </c>
      <c r="K217" t="s">
        <v>87</v>
      </c>
      <c r="L217" s="4" t="str">
        <f t="shared" si="3"/>
        <v>-0.83[-1.10,-0.55]</v>
      </c>
    </row>
    <row r="218" spans="1:12" x14ac:dyDescent="0.25">
      <c r="A218">
        <v>217</v>
      </c>
      <c r="B218">
        <v>25</v>
      </c>
      <c r="C218" t="s">
        <v>24</v>
      </c>
      <c r="D218">
        <v>-0.45850633633821902</v>
      </c>
      <c r="E218">
        <v>-1.2978622244036899</v>
      </c>
      <c r="F218">
        <v>0.38084955172725499</v>
      </c>
      <c r="G218">
        <v>1224.1612918880501</v>
      </c>
      <c r="H218">
        <v>1291.6503656344</v>
      </c>
      <c r="I218" t="s">
        <v>38</v>
      </c>
      <c r="J218" t="s">
        <v>88</v>
      </c>
      <c r="K218" t="s">
        <v>87</v>
      </c>
      <c r="L218" s="4" t="str">
        <f t="shared" si="3"/>
        <v>-0.46[-1.30,0.38]</v>
      </c>
    </row>
    <row r="219" spans="1:12" x14ac:dyDescent="0.25">
      <c r="A219">
        <v>218</v>
      </c>
      <c r="B219">
        <v>26</v>
      </c>
      <c r="C219" t="s">
        <v>34</v>
      </c>
      <c r="D219">
        <v>-0.293402994174013</v>
      </c>
      <c r="E219">
        <v>-0.63736534119376498</v>
      </c>
      <c r="F219">
        <v>5.0559352845739002E-2</v>
      </c>
      <c r="G219">
        <v>1224.1612918880501</v>
      </c>
      <c r="H219">
        <v>1291.6503656344</v>
      </c>
      <c r="I219" t="s">
        <v>38</v>
      </c>
      <c r="J219" t="s">
        <v>88</v>
      </c>
      <c r="K219" t="s">
        <v>87</v>
      </c>
      <c r="L219" s="4" t="str">
        <f t="shared" si="3"/>
        <v>-0.29[-0.64,0.05]</v>
      </c>
    </row>
    <row r="220" spans="1:12" x14ac:dyDescent="0.25">
      <c r="A220">
        <v>219</v>
      </c>
      <c r="B220">
        <v>27</v>
      </c>
      <c r="C220" t="s">
        <v>30</v>
      </c>
      <c r="D220">
        <v>-1.1273174376641599</v>
      </c>
      <c r="E220">
        <v>-2.2202801650664599</v>
      </c>
      <c r="F220">
        <v>-3.4354710261849997E-2</v>
      </c>
      <c r="G220">
        <v>1224.1612918880501</v>
      </c>
      <c r="H220">
        <v>1291.6503656344</v>
      </c>
      <c r="I220" t="s">
        <v>38</v>
      </c>
      <c r="J220" t="s">
        <v>88</v>
      </c>
      <c r="K220" t="s">
        <v>87</v>
      </c>
      <c r="L220" s="4" t="str">
        <f t="shared" si="3"/>
        <v>-1.13[-2.22,-0.03]</v>
      </c>
    </row>
    <row r="221" spans="1:12" x14ac:dyDescent="0.25">
      <c r="A221">
        <v>220</v>
      </c>
      <c r="B221">
        <v>28</v>
      </c>
      <c r="C221" t="s">
        <v>36</v>
      </c>
      <c r="D221">
        <v>-0.53243688482107099</v>
      </c>
      <c r="E221">
        <v>-0.80639343212512804</v>
      </c>
      <c r="F221">
        <v>-0.25848033751701299</v>
      </c>
      <c r="G221">
        <v>1224.1612918880501</v>
      </c>
      <c r="H221">
        <v>1291.6503656344</v>
      </c>
      <c r="I221" t="s">
        <v>38</v>
      </c>
      <c r="J221" t="s">
        <v>88</v>
      </c>
      <c r="K221" t="s">
        <v>87</v>
      </c>
      <c r="L221" s="4" t="str">
        <f t="shared" si="3"/>
        <v>-0.53[-0.81,-0.26]</v>
      </c>
    </row>
    <row r="222" spans="1:12" x14ac:dyDescent="0.25">
      <c r="A222">
        <v>221</v>
      </c>
      <c r="B222">
        <v>29</v>
      </c>
      <c r="C222" t="s">
        <v>27</v>
      </c>
      <c r="D222">
        <v>-0.295767248916049</v>
      </c>
      <c r="E222">
        <v>-0.58527766630478695</v>
      </c>
      <c r="F222">
        <v>-6.25683152731082E-3</v>
      </c>
      <c r="G222">
        <v>1224.1612918880501</v>
      </c>
      <c r="H222">
        <v>1291.6503656344</v>
      </c>
      <c r="I222" t="s">
        <v>38</v>
      </c>
      <c r="J222" t="s">
        <v>88</v>
      </c>
      <c r="K222" t="s">
        <v>87</v>
      </c>
      <c r="L222" s="4" t="str">
        <f t="shared" si="3"/>
        <v>-0.30[-0.59,-0.01]</v>
      </c>
    </row>
    <row r="223" spans="1:12" x14ac:dyDescent="0.25">
      <c r="A223">
        <v>222</v>
      </c>
      <c r="B223">
        <v>30</v>
      </c>
      <c r="C223" t="s">
        <v>22</v>
      </c>
      <c r="D223">
        <v>-0.25884994282763701</v>
      </c>
      <c r="E223">
        <v>-1.3168499887060201</v>
      </c>
      <c r="F223">
        <v>0.79915010305074097</v>
      </c>
      <c r="G223">
        <v>1224.1612918880501</v>
      </c>
      <c r="H223">
        <v>1291.6503656344</v>
      </c>
      <c r="I223" t="s">
        <v>38</v>
      </c>
      <c r="J223" t="s">
        <v>88</v>
      </c>
      <c r="K223" t="s">
        <v>87</v>
      </c>
      <c r="L223" s="4" t="str">
        <f t="shared" si="3"/>
        <v>-0.26[-1.32,0.80]</v>
      </c>
    </row>
    <row r="224" spans="1:12" x14ac:dyDescent="0.25">
      <c r="A224">
        <v>223</v>
      </c>
      <c r="B224">
        <v>31</v>
      </c>
      <c r="C224" t="s">
        <v>23</v>
      </c>
      <c r="D224">
        <v>-1.1745762720142201</v>
      </c>
      <c r="E224">
        <v>-2.2882400042758499</v>
      </c>
      <c r="F224">
        <v>-6.0912539752587397E-2</v>
      </c>
      <c r="G224">
        <v>1224.1612918880501</v>
      </c>
      <c r="H224">
        <v>1291.6503656344</v>
      </c>
      <c r="I224" t="s">
        <v>38</v>
      </c>
      <c r="J224" t="s">
        <v>88</v>
      </c>
      <c r="K224" t="s">
        <v>87</v>
      </c>
      <c r="L224" s="4" t="str">
        <f t="shared" si="3"/>
        <v>-1.17[-2.29,-0.06]</v>
      </c>
    </row>
    <row r="225" spans="1:12" x14ac:dyDescent="0.25">
      <c r="A225">
        <v>224</v>
      </c>
      <c r="B225">
        <v>32</v>
      </c>
      <c r="C225" t="s">
        <v>29</v>
      </c>
      <c r="D225">
        <v>-0.37429004675516397</v>
      </c>
      <c r="E225">
        <v>-0.71767368358878203</v>
      </c>
      <c r="F225">
        <v>-3.0906409921545499E-2</v>
      </c>
      <c r="G225">
        <v>1224.1612918880501</v>
      </c>
      <c r="H225">
        <v>1291.6503656344</v>
      </c>
      <c r="I225" t="s">
        <v>38</v>
      </c>
      <c r="J225" t="s">
        <v>88</v>
      </c>
      <c r="K225" t="s">
        <v>87</v>
      </c>
      <c r="L225" s="4" t="str">
        <f t="shared" si="3"/>
        <v>-0.37[-0.72,-0.03]</v>
      </c>
    </row>
    <row r="226" spans="1:12" x14ac:dyDescent="0.25">
      <c r="A226">
        <v>225</v>
      </c>
      <c r="B226">
        <v>33</v>
      </c>
      <c r="C226" t="s">
        <v>10</v>
      </c>
      <c r="D226">
        <v>64.410403635916495</v>
      </c>
      <c r="E226">
        <v>63.9076094374185</v>
      </c>
      <c r="F226">
        <v>64.913197834414404</v>
      </c>
      <c r="G226">
        <v>1366.9721399836999</v>
      </c>
      <c r="H226">
        <v>1434.4612137300401</v>
      </c>
      <c r="I226" t="s">
        <v>63</v>
      </c>
      <c r="J226" t="s">
        <v>88</v>
      </c>
      <c r="K226" t="s">
        <v>87</v>
      </c>
      <c r="L226" s="4" t="str">
        <f t="shared" si="3"/>
        <v>64.41[63.91,64.91]</v>
      </c>
    </row>
    <row r="227" spans="1:12" x14ac:dyDescent="0.25">
      <c r="A227">
        <v>226</v>
      </c>
      <c r="B227">
        <v>34</v>
      </c>
      <c r="C227" t="s">
        <v>89</v>
      </c>
      <c r="D227">
        <v>2.0175418875236302</v>
      </c>
      <c r="E227">
        <v>0.32533234078284001</v>
      </c>
      <c r="F227">
        <v>3.7097514342644198</v>
      </c>
      <c r="G227">
        <v>1366.9721399836999</v>
      </c>
      <c r="H227">
        <v>1434.4612137300401</v>
      </c>
      <c r="I227" t="s">
        <v>63</v>
      </c>
      <c r="J227" t="s">
        <v>88</v>
      </c>
      <c r="K227" t="s">
        <v>87</v>
      </c>
      <c r="L227" s="4" t="str">
        <f t="shared" si="3"/>
        <v>2.02[0.33,3.71]</v>
      </c>
    </row>
    <row r="228" spans="1:12" x14ac:dyDescent="0.25">
      <c r="A228">
        <v>227</v>
      </c>
      <c r="B228">
        <v>35</v>
      </c>
      <c r="C228" t="s">
        <v>17</v>
      </c>
      <c r="D228">
        <v>-2.68517448827857</v>
      </c>
      <c r="E228">
        <v>-3.0803569527079202</v>
      </c>
      <c r="F228">
        <v>-2.28999202384923</v>
      </c>
      <c r="G228">
        <v>1366.9721399836999</v>
      </c>
      <c r="H228">
        <v>1434.4612137300401</v>
      </c>
      <c r="I228" t="s">
        <v>63</v>
      </c>
      <c r="J228" t="s">
        <v>88</v>
      </c>
      <c r="K228" t="s">
        <v>87</v>
      </c>
      <c r="L228" s="4" t="str">
        <f t="shared" si="3"/>
        <v>-2.69[-3.08,-2.29]</v>
      </c>
    </row>
    <row r="229" spans="1:12" x14ac:dyDescent="0.25">
      <c r="A229">
        <v>228</v>
      </c>
      <c r="B229">
        <v>36</v>
      </c>
      <c r="C229" t="s">
        <v>20</v>
      </c>
      <c r="D229">
        <v>-1.59272970954385</v>
      </c>
      <c r="E229">
        <v>-2.0393274164853801</v>
      </c>
      <c r="F229">
        <v>-1.1461320026023201</v>
      </c>
      <c r="G229">
        <v>1366.9721399836999</v>
      </c>
      <c r="H229">
        <v>1434.4612137300401</v>
      </c>
      <c r="I229" t="s">
        <v>63</v>
      </c>
      <c r="J229" t="s">
        <v>88</v>
      </c>
      <c r="K229" t="s">
        <v>87</v>
      </c>
      <c r="L229" s="4" t="str">
        <f t="shared" si="3"/>
        <v>-1.59[-2.04,-1.15]</v>
      </c>
    </row>
    <row r="230" spans="1:12" x14ac:dyDescent="0.25">
      <c r="A230">
        <v>229</v>
      </c>
      <c r="B230">
        <v>37</v>
      </c>
      <c r="C230" t="s">
        <v>90</v>
      </c>
      <c r="D230">
        <v>19.722918521329301</v>
      </c>
      <c r="E230">
        <v>1.88942425798535</v>
      </c>
      <c r="F230">
        <v>37.556412784673199</v>
      </c>
      <c r="G230">
        <v>1366.9721399836999</v>
      </c>
      <c r="H230">
        <v>1434.4612137300401</v>
      </c>
      <c r="I230" t="s">
        <v>63</v>
      </c>
      <c r="J230" t="s">
        <v>88</v>
      </c>
      <c r="K230" t="s">
        <v>87</v>
      </c>
      <c r="L230" s="4" t="str">
        <f t="shared" si="3"/>
        <v>19.72[1.89,37.56]</v>
      </c>
    </row>
    <row r="231" spans="1:12" x14ac:dyDescent="0.25">
      <c r="A231">
        <v>230</v>
      </c>
      <c r="B231">
        <v>38</v>
      </c>
      <c r="C231" t="s">
        <v>14</v>
      </c>
      <c r="D231">
        <v>-18.828505600103501</v>
      </c>
      <c r="E231">
        <v>-36.552579935225403</v>
      </c>
      <c r="F231">
        <v>-1.1044312649817101</v>
      </c>
      <c r="G231">
        <v>1366.9721399836999</v>
      </c>
      <c r="H231">
        <v>1434.4612137300401</v>
      </c>
      <c r="I231" t="s">
        <v>63</v>
      </c>
      <c r="J231" t="s">
        <v>88</v>
      </c>
      <c r="K231" t="s">
        <v>87</v>
      </c>
      <c r="L231" s="4" t="str">
        <f t="shared" si="3"/>
        <v>-18.83[-36.55,-1.10]</v>
      </c>
    </row>
    <row r="232" spans="1:12" x14ac:dyDescent="0.25">
      <c r="A232">
        <v>231</v>
      </c>
      <c r="B232">
        <v>39</v>
      </c>
      <c r="C232" t="s">
        <v>16</v>
      </c>
      <c r="D232">
        <v>-2.67260990330054E-2</v>
      </c>
      <c r="E232">
        <v>-0.729284462392365</v>
      </c>
      <c r="F232">
        <v>0.67583226432635501</v>
      </c>
      <c r="G232">
        <v>1366.9721399836999</v>
      </c>
      <c r="H232">
        <v>1434.4612137300401</v>
      </c>
      <c r="I232" t="s">
        <v>63</v>
      </c>
      <c r="J232" t="s">
        <v>88</v>
      </c>
      <c r="K232" t="s">
        <v>87</v>
      </c>
      <c r="L232" s="4" t="str">
        <f t="shared" si="3"/>
        <v>-0.03[-0.73,0.68]</v>
      </c>
    </row>
    <row r="233" spans="1:12" x14ac:dyDescent="0.25">
      <c r="A233">
        <v>232</v>
      </c>
      <c r="B233">
        <v>40</v>
      </c>
      <c r="C233" t="s">
        <v>19</v>
      </c>
      <c r="D233">
        <v>-1.9028848357331001</v>
      </c>
      <c r="E233">
        <v>-2.25084556369498</v>
      </c>
      <c r="F233">
        <v>-1.5549241077712199</v>
      </c>
      <c r="G233">
        <v>1366.9721399836999</v>
      </c>
      <c r="H233">
        <v>1434.4612137300401</v>
      </c>
      <c r="I233" t="s">
        <v>63</v>
      </c>
      <c r="J233" t="s">
        <v>88</v>
      </c>
      <c r="K233" t="s">
        <v>87</v>
      </c>
      <c r="L233" s="4" t="str">
        <f t="shared" si="3"/>
        <v>-1.90[-2.25,-1.55]</v>
      </c>
    </row>
    <row r="234" spans="1:12" x14ac:dyDescent="0.25">
      <c r="A234">
        <v>233</v>
      </c>
      <c r="B234">
        <v>41</v>
      </c>
      <c r="C234" t="s">
        <v>24</v>
      </c>
      <c r="D234">
        <v>-0.668529944470726</v>
      </c>
      <c r="E234">
        <v>-1.7588706718998499</v>
      </c>
      <c r="F234">
        <v>0.42181078295839902</v>
      </c>
      <c r="G234">
        <v>1366.9721399836999</v>
      </c>
      <c r="H234">
        <v>1434.4612137300401</v>
      </c>
      <c r="I234" t="s">
        <v>63</v>
      </c>
      <c r="J234" t="s">
        <v>88</v>
      </c>
      <c r="K234" t="s">
        <v>87</v>
      </c>
      <c r="L234" s="4" t="str">
        <f t="shared" si="3"/>
        <v>-0.67[-1.76,0.42]</v>
      </c>
    </row>
    <row r="235" spans="1:12" x14ac:dyDescent="0.25">
      <c r="A235">
        <v>234</v>
      </c>
      <c r="B235">
        <v>42</v>
      </c>
      <c r="C235" t="s">
        <v>34</v>
      </c>
      <c r="D235">
        <v>-0.653133841500117</v>
      </c>
      <c r="E235">
        <v>-1.0947197108458999</v>
      </c>
      <c r="F235">
        <v>-0.21154797215433499</v>
      </c>
      <c r="G235">
        <v>1366.9721399836999</v>
      </c>
      <c r="H235">
        <v>1434.4612137300401</v>
      </c>
      <c r="I235" t="s">
        <v>63</v>
      </c>
      <c r="J235" t="s">
        <v>88</v>
      </c>
      <c r="K235" t="s">
        <v>87</v>
      </c>
      <c r="L235" s="4" t="str">
        <f t="shared" si="3"/>
        <v>-0.65[-1.09,-0.21]</v>
      </c>
    </row>
    <row r="236" spans="1:12" x14ac:dyDescent="0.25">
      <c r="A236">
        <v>235</v>
      </c>
      <c r="B236">
        <v>43</v>
      </c>
      <c r="C236" t="s">
        <v>30</v>
      </c>
      <c r="D236">
        <v>-2.0177177997603701</v>
      </c>
      <c r="E236">
        <v>-3.4084910577192198</v>
      </c>
      <c r="F236">
        <v>-0.62694454180152004</v>
      </c>
      <c r="G236">
        <v>1366.9721399836999</v>
      </c>
      <c r="H236">
        <v>1434.4612137300401</v>
      </c>
      <c r="I236" t="s">
        <v>63</v>
      </c>
      <c r="J236" t="s">
        <v>88</v>
      </c>
      <c r="K236" t="s">
        <v>87</v>
      </c>
      <c r="L236" s="4" t="str">
        <f t="shared" si="3"/>
        <v>-2.02[-3.41,-0.63]</v>
      </c>
    </row>
    <row r="237" spans="1:12" x14ac:dyDescent="0.25">
      <c r="A237">
        <v>236</v>
      </c>
      <c r="B237">
        <v>44</v>
      </c>
      <c r="C237" t="s">
        <v>36</v>
      </c>
      <c r="D237">
        <v>-0.51222474462790302</v>
      </c>
      <c r="E237">
        <v>-0.87035772930887201</v>
      </c>
      <c r="F237">
        <v>-0.154091759946935</v>
      </c>
      <c r="G237">
        <v>1366.9721399836999</v>
      </c>
      <c r="H237">
        <v>1434.4612137300401</v>
      </c>
      <c r="I237" t="s">
        <v>63</v>
      </c>
      <c r="J237" t="s">
        <v>88</v>
      </c>
      <c r="K237" t="s">
        <v>87</v>
      </c>
      <c r="L237" s="4" t="str">
        <f t="shared" si="3"/>
        <v>-0.51[-0.87,-0.15]</v>
      </c>
    </row>
    <row r="238" spans="1:12" x14ac:dyDescent="0.25">
      <c r="A238">
        <v>237</v>
      </c>
      <c r="B238">
        <v>45</v>
      </c>
      <c r="C238" t="s">
        <v>27</v>
      </c>
      <c r="D238">
        <v>-0.31834679861371601</v>
      </c>
      <c r="E238">
        <v>-0.68473417518435298</v>
      </c>
      <c r="F238">
        <v>4.8040577956921501E-2</v>
      </c>
      <c r="G238">
        <v>1366.9721399836999</v>
      </c>
      <c r="H238">
        <v>1434.4612137300401</v>
      </c>
      <c r="I238" t="s">
        <v>63</v>
      </c>
      <c r="J238" t="s">
        <v>88</v>
      </c>
      <c r="K238" t="s">
        <v>87</v>
      </c>
      <c r="L238" s="4" t="str">
        <f t="shared" si="3"/>
        <v>-0.32[-0.68,0.05]</v>
      </c>
    </row>
    <row r="239" spans="1:12" x14ac:dyDescent="0.25">
      <c r="A239">
        <v>238</v>
      </c>
      <c r="B239">
        <v>46</v>
      </c>
      <c r="C239" t="s">
        <v>22</v>
      </c>
      <c r="D239">
        <v>-0.58289231966382904</v>
      </c>
      <c r="E239">
        <v>-1.93240456388342</v>
      </c>
      <c r="F239">
        <v>0.766619924555761</v>
      </c>
      <c r="G239">
        <v>1366.9721399836999</v>
      </c>
      <c r="H239">
        <v>1434.4612137300401</v>
      </c>
      <c r="I239" t="s">
        <v>63</v>
      </c>
      <c r="J239" t="s">
        <v>88</v>
      </c>
      <c r="K239" t="s">
        <v>87</v>
      </c>
      <c r="L239" s="4" t="str">
        <f t="shared" si="3"/>
        <v>-0.58[-1.93,0.77]</v>
      </c>
    </row>
    <row r="240" spans="1:12" x14ac:dyDescent="0.25">
      <c r="A240">
        <v>239</v>
      </c>
      <c r="B240">
        <v>47</v>
      </c>
      <c r="C240" t="s">
        <v>23</v>
      </c>
      <c r="D240">
        <v>0.51611506037204102</v>
      </c>
      <c r="E240">
        <v>-0.91129613128496201</v>
      </c>
      <c r="F240">
        <v>1.9435262520290399</v>
      </c>
      <c r="G240">
        <v>1366.9721399836999</v>
      </c>
      <c r="H240">
        <v>1434.4612137300401</v>
      </c>
      <c r="I240" t="s">
        <v>63</v>
      </c>
      <c r="J240" t="s">
        <v>88</v>
      </c>
      <c r="K240" t="s">
        <v>87</v>
      </c>
      <c r="L240" s="4" t="str">
        <f t="shared" si="3"/>
        <v>0.52[-0.91,1.94]</v>
      </c>
    </row>
    <row r="241" spans="1:12" x14ac:dyDescent="0.25">
      <c r="A241">
        <v>240</v>
      </c>
      <c r="B241">
        <v>48</v>
      </c>
      <c r="C241" t="s">
        <v>29</v>
      </c>
      <c r="D241">
        <v>-0.39709169310669501</v>
      </c>
      <c r="E241">
        <v>-0.85834557568977898</v>
      </c>
      <c r="F241">
        <v>6.4162189476389395E-2</v>
      </c>
      <c r="G241">
        <v>1366.9721399836999</v>
      </c>
      <c r="H241">
        <v>1434.4612137300401</v>
      </c>
      <c r="I241" t="s">
        <v>63</v>
      </c>
      <c r="J241" t="s">
        <v>88</v>
      </c>
      <c r="K241" t="s">
        <v>87</v>
      </c>
      <c r="L241" s="4" t="str">
        <f t="shared" si="3"/>
        <v>-0.40[-0.86,0.06]</v>
      </c>
    </row>
    <row r="242" spans="1:12" x14ac:dyDescent="0.25">
      <c r="A242">
        <v>241</v>
      </c>
      <c r="B242" t="s">
        <v>10</v>
      </c>
      <c r="C242" t="s">
        <v>10</v>
      </c>
      <c r="D242">
        <v>82.647133757930007</v>
      </c>
      <c r="E242">
        <v>82.4772609961813</v>
      </c>
      <c r="F242">
        <v>82.8170065196786</v>
      </c>
      <c r="G242">
        <v>1178.36521485151</v>
      </c>
      <c r="H242">
        <v>1253.3530745696801</v>
      </c>
      <c r="I242" t="s">
        <v>11</v>
      </c>
      <c r="J242" t="s">
        <v>95</v>
      </c>
      <c r="K242" t="s">
        <v>13</v>
      </c>
      <c r="L242" s="4" t="str">
        <f t="shared" si="3"/>
        <v>82.65[82.48,82.82]</v>
      </c>
    </row>
    <row r="243" spans="1:12" x14ac:dyDescent="0.25">
      <c r="A243">
        <v>242</v>
      </c>
      <c r="B243" t="s">
        <v>89</v>
      </c>
      <c r="C243" t="s">
        <v>89</v>
      </c>
      <c r="D243">
        <v>3.4031050951977102</v>
      </c>
      <c r="E243">
        <v>2.74825219461309</v>
      </c>
      <c r="F243">
        <v>4.0579579957823304</v>
      </c>
      <c r="G243">
        <v>1178.36521485151</v>
      </c>
      <c r="H243">
        <v>1253.3530745696801</v>
      </c>
      <c r="I243" t="s">
        <v>11</v>
      </c>
      <c r="J243" t="s">
        <v>95</v>
      </c>
      <c r="K243" t="s">
        <v>13</v>
      </c>
      <c r="L243" s="4" t="str">
        <f t="shared" si="3"/>
        <v>3.40[2.75,4.06]</v>
      </c>
    </row>
    <row r="244" spans="1:12" x14ac:dyDescent="0.25">
      <c r="A244">
        <v>243</v>
      </c>
      <c r="B244" t="s">
        <v>17</v>
      </c>
      <c r="C244" t="s">
        <v>17</v>
      </c>
      <c r="D244">
        <v>-2.8183260785458399</v>
      </c>
      <c r="E244">
        <v>-3.1134421602388</v>
      </c>
      <c r="F244">
        <v>-2.5232099968528798</v>
      </c>
      <c r="G244">
        <v>1178.36521485151</v>
      </c>
      <c r="H244">
        <v>1253.3530745696801</v>
      </c>
      <c r="I244" t="s">
        <v>11</v>
      </c>
      <c r="J244" t="s">
        <v>95</v>
      </c>
      <c r="K244" t="s">
        <v>13</v>
      </c>
      <c r="L244" s="4" t="str">
        <f t="shared" si="3"/>
        <v>-2.82[-3.11,-2.52]</v>
      </c>
    </row>
    <row r="245" spans="1:12" x14ac:dyDescent="0.25">
      <c r="A245">
        <v>244</v>
      </c>
      <c r="B245" t="s">
        <v>19</v>
      </c>
      <c r="C245" t="s">
        <v>19</v>
      </c>
      <c r="D245">
        <v>-0.66246301323590995</v>
      </c>
      <c r="E245">
        <v>-0.91984647435460798</v>
      </c>
      <c r="F245">
        <v>-0.40507955211721097</v>
      </c>
      <c r="G245">
        <v>1178.36521485151</v>
      </c>
      <c r="H245">
        <v>1253.3530745696801</v>
      </c>
      <c r="I245" t="s">
        <v>11</v>
      </c>
      <c r="J245" t="s">
        <v>95</v>
      </c>
      <c r="K245" t="s">
        <v>13</v>
      </c>
      <c r="L245" s="4" t="str">
        <f t="shared" si="3"/>
        <v>-0.66[-0.92,-0.41]</v>
      </c>
    </row>
    <row r="246" spans="1:12" x14ac:dyDescent="0.25">
      <c r="A246">
        <v>245</v>
      </c>
      <c r="B246" t="s">
        <v>20</v>
      </c>
      <c r="C246" t="s">
        <v>20</v>
      </c>
      <c r="D246">
        <v>-1.33086151491594</v>
      </c>
      <c r="E246">
        <v>-1.6761145602330101</v>
      </c>
      <c r="F246">
        <v>-0.98560846959886605</v>
      </c>
      <c r="G246">
        <v>1178.36521485151</v>
      </c>
      <c r="H246">
        <v>1253.3530745696801</v>
      </c>
      <c r="I246" t="s">
        <v>11</v>
      </c>
      <c r="J246" t="s">
        <v>95</v>
      </c>
      <c r="K246" t="s">
        <v>13</v>
      </c>
      <c r="L246" s="4" t="str">
        <f t="shared" si="3"/>
        <v>-1.33[-1.68,-0.99]</v>
      </c>
    </row>
    <row r="247" spans="1:12" x14ac:dyDescent="0.25">
      <c r="A247">
        <v>246</v>
      </c>
      <c r="B247" t="s">
        <v>23</v>
      </c>
      <c r="C247" t="s">
        <v>23</v>
      </c>
      <c r="D247">
        <v>-1.49763025330376</v>
      </c>
      <c r="E247">
        <v>-2.2753347622603601</v>
      </c>
      <c r="F247">
        <v>-0.71992574434715595</v>
      </c>
      <c r="G247">
        <v>1178.36521485151</v>
      </c>
      <c r="H247">
        <v>1253.3530745696801</v>
      </c>
      <c r="I247" t="s">
        <v>11</v>
      </c>
      <c r="J247" t="s">
        <v>95</v>
      </c>
      <c r="K247" t="s">
        <v>13</v>
      </c>
      <c r="L247" s="4" t="str">
        <f t="shared" si="3"/>
        <v>-1.50[-2.28,-0.72]</v>
      </c>
    </row>
    <row r="248" spans="1:12" x14ac:dyDescent="0.25">
      <c r="A248">
        <v>247</v>
      </c>
      <c r="B248" t="s">
        <v>97</v>
      </c>
      <c r="C248" t="s">
        <v>97</v>
      </c>
      <c r="D248">
        <v>1.34815998803162</v>
      </c>
      <c r="E248">
        <v>0.53462696526978004</v>
      </c>
      <c r="F248">
        <v>2.1616930107934702</v>
      </c>
      <c r="G248">
        <v>1178.36521485151</v>
      </c>
      <c r="H248">
        <v>1253.3530745696801</v>
      </c>
      <c r="I248" t="s">
        <v>11</v>
      </c>
      <c r="J248" t="s">
        <v>95</v>
      </c>
      <c r="K248" t="s">
        <v>13</v>
      </c>
      <c r="L248" s="4" t="str">
        <f t="shared" si="3"/>
        <v>1.35[0.53,2.16]</v>
      </c>
    </row>
    <row r="249" spans="1:12" x14ac:dyDescent="0.25">
      <c r="A249">
        <v>248</v>
      </c>
      <c r="B249" t="s">
        <v>29</v>
      </c>
      <c r="C249" t="s">
        <v>29</v>
      </c>
      <c r="D249">
        <v>-0.64344089070602695</v>
      </c>
      <c r="E249">
        <v>-1.05732450445552</v>
      </c>
      <c r="F249">
        <v>-0.22955727695653899</v>
      </c>
      <c r="G249">
        <v>1178.36521485151</v>
      </c>
      <c r="H249">
        <v>1253.3530745696801</v>
      </c>
      <c r="I249" t="s">
        <v>11</v>
      </c>
      <c r="J249" t="s">
        <v>95</v>
      </c>
      <c r="K249" t="s">
        <v>13</v>
      </c>
      <c r="L249" s="4" t="str">
        <f t="shared" si="3"/>
        <v>-0.64[-1.06,-0.23]</v>
      </c>
    </row>
    <row r="250" spans="1:12" x14ac:dyDescent="0.25">
      <c r="A250">
        <v>249</v>
      </c>
      <c r="B250" t="s">
        <v>145</v>
      </c>
      <c r="C250" t="s">
        <v>145</v>
      </c>
      <c r="D250">
        <v>0.21681976869461</v>
      </c>
      <c r="E250">
        <v>-0.287130957099415</v>
      </c>
      <c r="F250">
        <v>0.72077049448863395</v>
      </c>
      <c r="G250">
        <v>1178.36521485151</v>
      </c>
      <c r="H250">
        <v>1253.3530745696801</v>
      </c>
      <c r="I250" t="s">
        <v>11</v>
      </c>
      <c r="J250" t="s">
        <v>95</v>
      </c>
      <c r="K250" t="s">
        <v>13</v>
      </c>
      <c r="L250" s="4" t="str">
        <f t="shared" si="3"/>
        <v>0.22[-0.29,0.72]</v>
      </c>
    </row>
    <row r="251" spans="1:12" x14ac:dyDescent="0.25">
      <c r="A251">
        <v>250</v>
      </c>
      <c r="B251" t="s">
        <v>30</v>
      </c>
      <c r="C251" t="s">
        <v>30</v>
      </c>
      <c r="D251">
        <v>-1.10861063377514</v>
      </c>
      <c r="E251">
        <v>-1.6739477035655099</v>
      </c>
      <c r="F251">
        <v>-0.54327356398476601</v>
      </c>
      <c r="G251">
        <v>1178.36521485151</v>
      </c>
      <c r="H251">
        <v>1253.3530745696801</v>
      </c>
      <c r="I251" t="s">
        <v>11</v>
      </c>
      <c r="J251" t="s">
        <v>95</v>
      </c>
      <c r="K251" t="s">
        <v>13</v>
      </c>
      <c r="L251" s="4" t="str">
        <f t="shared" si="3"/>
        <v>-1.11[-1.67,-0.54]</v>
      </c>
    </row>
    <row r="252" spans="1:12" x14ac:dyDescent="0.25">
      <c r="A252">
        <v>251</v>
      </c>
      <c r="B252" t="s">
        <v>36</v>
      </c>
      <c r="C252" t="s">
        <v>36</v>
      </c>
      <c r="D252">
        <v>-0.49162142737689102</v>
      </c>
      <c r="E252">
        <v>-0.71232623768679804</v>
      </c>
      <c r="F252">
        <v>-0.270916617066984</v>
      </c>
      <c r="G252">
        <v>1178.36521485151</v>
      </c>
      <c r="H252">
        <v>1253.3530745696801</v>
      </c>
      <c r="I252" t="s">
        <v>11</v>
      </c>
      <c r="J252" t="s">
        <v>95</v>
      </c>
      <c r="K252" t="s">
        <v>13</v>
      </c>
      <c r="L252" s="4" t="str">
        <f t="shared" si="3"/>
        <v>-0.49[-0.71,-0.27]</v>
      </c>
    </row>
    <row r="253" spans="1:12" x14ac:dyDescent="0.25">
      <c r="A253">
        <v>252</v>
      </c>
      <c r="B253" t="s">
        <v>96</v>
      </c>
      <c r="C253" t="s">
        <v>96</v>
      </c>
      <c r="D253">
        <v>-1.2791252541610001</v>
      </c>
      <c r="E253">
        <v>-2.1317992431535702</v>
      </c>
      <c r="F253">
        <v>-0.42645126516843201</v>
      </c>
      <c r="G253">
        <v>1178.36521485151</v>
      </c>
      <c r="H253">
        <v>1253.3530745696801</v>
      </c>
      <c r="I253" t="s">
        <v>11</v>
      </c>
      <c r="J253" t="s">
        <v>95</v>
      </c>
      <c r="K253" t="s">
        <v>13</v>
      </c>
      <c r="L253" s="4" t="str">
        <f t="shared" si="3"/>
        <v>-1.28[-2.13,-0.43]</v>
      </c>
    </row>
    <row r="254" spans="1:12" x14ac:dyDescent="0.25">
      <c r="A254">
        <v>253</v>
      </c>
      <c r="B254" t="s">
        <v>27</v>
      </c>
      <c r="C254" t="s">
        <v>27</v>
      </c>
      <c r="D254">
        <v>-0.82568958262352099</v>
      </c>
      <c r="E254">
        <v>-1.5321437414336601</v>
      </c>
      <c r="F254">
        <v>-0.11923542381338401</v>
      </c>
      <c r="G254">
        <v>1178.36521485151</v>
      </c>
      <c r="H254">
        <v>1253.3530745696801</v>
      </c>
      <c r="I254" t="s">
        <v>11</v>
      </c>
      <c r="J254" t="s">
        <v>95</v>
      </c>
      <c r="K254" t="s">
        <v>13</v>
      </c>
      <c r="L254" s="4" t="str">
        <f t="shared" si="3"/>
        <v>-0.83[-1.53,-0.12]</v>
      </c>
    </row>
    <row r="255" spans="1:12" x14ac:dyDescent="0.25">
      <c r="A255">
        <v>254</v>
      </c>
      <c r="B255" t="s">
        <v>98</v>
      </c>
      <c r="C255" t="s">
        <v>98</v>
      </c>
      <c r="D255">
        <v>0.49385326424380599</v>
      </c>
      <c r="E255">
        <v>-0.231007894532337</v>
      </c>
      <c r="F255">
        <v>1.21871442301995</v>
      </c>
      <c r="G255">
        <v>1178.36521485151</v>
      </c>
      <c r="H255">
        <v>1253.3530745696801</v>
      </c>
      <c r="I255" t="s">
        <v>11</v>
      </c>
      <c r="J255" t="s">
        <v>95</v>
      </c>
      <c r="K255" t="s">
        <v>13</v>
      </c>
      <c r="L255" s="4" t="str">
        <f t="shared" si="3"/>
        <v>0.49[-0.23,1.22]</v>
      </c>
    </row>
    <row r="256" spans="1:12" x14ac:dyDescent="0.25">
      <c r="A256">
        <v>255</v>
      </c>
      <c r="B256" t="s">
        <v>109</v>
      </c>
      <c r="C256" t="s">
        <v>109</v>
      </c>
      <c r="D256">
        <v>0.52400252932270097</v>
      </c>
      <c r="E256">
        <v>7.1918100719884595E-2</v>
      </c>
      <c r="F256">
        <v>0.97608695792551703</v>
      </c>
      <c r="G256">
        <v>1178.36521485151</v>
      </c>
      <c r="H256">
        <v>1253.3530745696801</v>
      </c>
      <c r="I256" t="s">
        <v>11</v>
      </c>
      <c r="J256" t="s">
        <v>95</v>
      </c>
      <c r="K256" t="s">
        <v>13</v>
      </c>
      <c r="L256" s="4" t="str">
        <f t="shared" si="3"/>
        <v>0.52[0.07,0.98]</v>
      </c>
    </row>
    <row r="257" spans="1:12" x14ac:dyDescent="0.25">
      <c r="A257">
        <v>256</v>
      </c>
      <c r="B257" t="s">
        <v>14</v>
      </c>
      <c r="C257" t="s">
        <v>14</v>
      </c>
      <c r="D257">
        <v>-7.0221908955334698</v>
      </c>
      <c r="E257">
        <v>-20.455772700264198</v>
      </c>
      <c r="F257">
        <v>6.4113909091973103</v>
      </c>
      <c r="G257">
        <v>1178.36521485151</v>
      </c>
      <c r="H257">
        <v>1253.3530745696801</v>
      </c>
      <c r="I257" t="s">
        <v>11</v>
      </c>
      <c r="J257" t="s">
        <v>95</v>
      </c>
      <c r="K257" t="s">
        <v>13</v>
      </c>
      <c r="L257" s="4" t="str">
        <f t="shared" si="3"/>
        <v>-7.02[-20.46,6.41]</v>
      </c>
    </row>
    <row r="258" spans="1:12" x14ac:dyDescent="0.25">
      <c r="A258">
        <v>257</v>
      </c>
      <c r="B258" t="s">
        <v>90</v>
      </c>
      <c r="C258" t="s">
        <v>90</v>
      </c>
      <c r="D258">
        <v>7.27374642444759</v>
      </c>
      <c r="E258">
        <v>-6.2382131051213001</v>
      </c>
      <c r="F258">
        <v>20.7857059540165</v>
      </c>
      <c r="G258">
        <v>1178.36521485151</v>
      </c>
      <c r="H258">
        <v>1253.3530745696801</v>
      </c>
      <c r="I258" t="s">
        <v>11</v>
      </c>
      <c r="J258" t="s">
        <v>95</v>
      </c>
      <c r="K258" t="s">
        <v>13</v>
      </c>
      <c r="L258" s="4" t="str">
        <f t="shared" si="3"/>
        <v>7.27[-6.24,20.79]</v>
      </c>
    </row>
    <row r="259" spans="1:12" x14ac:dyDescent="0.25">
      <c r="A259">
        <v>258</v>
      </c>
      <c r="B259" t="s">
        <v>105</v>
      </c>
      <c r="C259" t="s">
        <v>105</v>
      </c>
      <c r="D259">
        <v>0.20986783873675999</v>
      </c>
      <c r="E259">
        <v>-0.16140565326815801</v>
      </c>
      <c r="F259">
        <v>0.58114133074167695</v>
      </c>
      <c r="G259">
        <v>1178.36521485151</v>
      </c>
      <c r="H259">
        <v>1253.3530745696801</v>
      </c>
      <c r="I259" t="s">
        <v>11</v>
      </c>
      <c r="J259" t="s">
        <v>95</v>
      </c>
      <c r="K259" t="s">
        <v>13</v>
      </c>
      <c r="L259" s="4" t="str">
        <f t="shared" ref="L259:L322" si="4">TEXT(ROUND(D259,2),"0.00") &amp; "[" &amp; TEXT(ROUND(E259,2),"0.00") &amp; "," &amp; TEXT(ROUND(F259,2),"0.00") &amp; "]"</f>
        <v>0.21[-0.16,0.58]</v>
      </c>
    </row>
    <row r="260" spans="1:12" x14ac:dyDescent="0.25">
      <c r="A260">
        <v>259</v>
      </c>
      <c r="B260" t="s">
        <v>34</v>
      </c>
      <c r="C260" t="s">
        <v>34</v>
      </c>
      <c r="D260">
        <v>-0.272978465153768</v>
      </c>
      <c r="E260">
        <v>-0.61825060347401295</v>
      </c>
      <c r="F260">
        <v>7.2293673166478306E-2</v>
      </c>
      <c r="G260">
        <v>1178.36521485151</v>
      </c>
      <c r="H260">
        <v>1253.3530745696801</v>
      </c>
      <c r="I260" t="s">
        <v>11</v>
      </c>
      <c r="J260" t="s">
        <v>95</v>
      </c>
      <c r="K260" t="s">
        <v>13</v>
      </c>
      <c r="L260" s="4" t="str">
        <f t="shared" si="4"/>
        <v>-0.27[-0.62,0.07]</v>
      </c>
    </row>
    <row r="261" spans="1:12" x14ac:dyDescent="0.25">
      <c r="A261">
        <v>260</v>
      </c>
      <c r="B261" t="s">
        <v>37</v>
      </c>
      <c r="C261" t="s">
        <v>10</v>
      </c>
      <c r="D261">
        <v>79.321337579649693</v>
      </c>
      <c r="E261">
        <v>79.149747437283096</v>
      </c>
      <c r="F261">
        <v>79.492927722016205</v>
      </c>
      <c r="G261">
        <v>1184.6822941543101</v>
      </c>
      <c r="H261">
        <v>1259.6701538724799</v>
      </c>
      <c r="I261" t="s">
        <v>38</v>
      </c>
      <c r="J261" t="s">
        <v>95</v>
      </c>
      <c r="K261" t="s">
        <v>13</v>
      </c>
      <c r="L261" s="4" t="str">
        <f t="shared" si="4"/>
        <v>79.32[79.15,79.49]</v>
      </c>
    </row>
    <row r="262" spans="1:12" x14ac:dyDescent="0.25">
      <c r="A262">
        <v>261</v>
      </c>
      <c r="B262" t="s">
        <v>91</v>
      </c>
      <c r="C262" t="s">
        <v>89</v>
      </c>
      <c r="D262">
        <v>3.8164993913380401</v>
      </c>
      <c r="E262">
        <v>3.1550260551550502</v>
      </c>
      <c r="F262">
        <v>4.4779727275210401</v>
      </c>
      <c r="G262">
        <v>1184.6822941543101</v>
      </c>
      <c r="H262">
        <v>1259.6701538724799</v>
      </c>
      <c r="I262" t="s">
        <v>38</v>
      </c>
      <c r="J262" t="s">
        <v>95</v>
      </c>
      <c r="K262" t="s">
        <v>13</v>
      </c>
      <c r="L262" s="4" t="str">
        <f t="shared" si="4"/>
        <v>3.82[3.16,4.48]</v>
      </c>
    </row>
    <row r="263" spans="1:12" x14ac:dyDescent="0.25">
      <c r="A263">
        <v>262</v>
      </c>
      <c r="B263" t="s">
        <v>42</v>
      </c>
      <c r="C263" t="s">
        <v>17</v>
      </c>
      <c r="D263">
        <v>-2.8476063697671199</v>
      </c>
      <c r="E263">
        <v>-3.14570601771007</v>
      </c>
      <c r="F263">
        <v>-2.54950672182416</v>
      </c>
      <c r="G263">
        <v>1184.6822941543101</v>
      </c>
      <c r="H263">
        <v>1259.6701538724799</v>
      </c>
      <c r="I263" t="s">
        <v>38</v>
      </c>
      <c r="J263" t="s">
        <v>95</v>
      </c>
      <c r="K263" t="s">
        <v>13</v>
      </c>
      <c r="L263" s="4" t="str">
        <f t="shared" si="4"/>
        <v>-2.85[-3.15,-2.55]</v>
      </c>
    </row>
    <row r="264" spans="1:12" x14ac:dyDescent="0.25">
      <c r="A264">
        <v>263</v>
      </c>
      <c r="B264" t="s">
        <v>44</v>
      </c>
      <c r="C264" t="s">
        <v>19</v>
      </c>
      <c r="D264">
        <v>-0.78890050707358195</v>
      </c>
      <c r="E264">
        <v>-1.0488860649790599</v>
      </c>
      <c r="F264">
        <v>-0.528914949168105</v>
      </c>
      <c r="G264">
        <v>1184.6822941543101</v>
      </c>
      <c r="H264">
        <v>1259.6701538724799</v>
      </c>
      <c r="I264" t="s">
        <v>38</v>
      </c>
      <c r="J264" t="s">
        <v>95</v>
      </c>
      <c r="K264" t="s">
        <v>13</v>
      </c>
      <c r="L264" s="4" t="str">
        <f t="shared" si="4"/>
        <v>-0.79[-1.05,-0.53]</v>
      </c>
    </row>
    <row r="265" spans="1:12" x14ac:dyDescent="0.25">
      <c r="A265">
        <v>264</v>
      </c>
      <c r="B265" t="s">
        <v>45</v>
      </c>
      <c r="C265" t="s">
        <v>20</v>
      </c>
      <c r="D265">
        <v>-1.3440711701379799</v>
      </c>
      <c r="E265">
        <v>-1.6928146566665401</v>
      </c>
      <c r="F265">
        <v>-0.99532768360941704</v>
      </c>
      <c r="G265">
        <v>1184.6822941543101</v>
      </c>
      <c r="H265">
        <v>1259.6701538724799</v>
      </c>
      <c r="I265" t="s">
        <v>38</v>
      </c>
      <c r="J265" t="s">
        <v>95</v>
      </c>
      <c r="K265" t="s">
        <v>13</v>
      </c>
      <c r="L265" s="4" t="str">
        <f t="shared" si="4"/>
        <v>-1.34[-1.69,-1.00]</v>
      </c>
    </row>
    <row r="266" spans="1:12" x14ac:dyDescent="0.25">
      <c r="A266">
        <v>265</v>
      </c>
      <c r="B266" t="s">
        <v>48</v>
      </c>
      <c r="C266" t="s">
        <v>23</v>
      </c>
      <c r="D266">
        <v>-1.5834404079812401</v>
      </c>
      <c r="E266">
        <v>-2.3690073584289202</v>
      </c>
      <c r="F266">
        <v>-0.79787345753354799</v>
      </c>
      <c r="G266">
        <v>1184.6822941543101</v>
      </c>
      <c r="H266">
        <v>1259.6701538724799</v>
      </c>
      <c r="I266" t="s">
        <v>38</v>
      </c>
      <c r="J266" t="s">
        <v>95</v>
      </c>
      <c r="K266" t="s">
        <v>13</v>
      </c>
      <c r="L266" s="4" t="str">
        <f t="shared" si="4"/>
        <v>-1.58[-2.37,-0.80]</v>
      </c>
    </row>
    <row r="267" spans="1:12" x14ac:dyDescent="0.25">
      <c r="A267">
        <v>266</v>
      </c>
      <c r="B267" t="s">
        <v>101</v>
      </c>
      <c r="C267" t="s">
        <v>97</v>
      </c>
      <c r="D267">
        <v>1.40082642779779</v>
      </c>
      <c r="E267">
        <v>0.57906874423114696</v>
      </c>
      <c r="F267">
        <v>2.22258411136443</v>
      </c>
      <c r="G267">
        <v>1184.6822941543101</v>
      </c>
      <c r="H267">
        <v>1259.6701538724799</v>
      </c>
      <c r="I267" t="s">
        <v>38</v>
      </c>
      <c r="J267" t="s">
        <v>95</v>
      </c>
      <c r="K267" t="s">
        <v>13</v>
      </c>
      <c r="L267" s="4" t="str">
        <f t="shared" si="4"/>
        <v>1.40[0.58,2.22]</v>
      </c>
    </row>
    <row r="268" spans="1:12" x14ac:dyDescent="0.25">
      <c r="A268">
        <v>267</v>
      </c>
      <c r="B268" t="s">
        <v>54</v>
      </c>
      <c r="C268" t="s">
        <v>29</v>
      </c>
      <c r="D268">
        <v>-0.695129610706399</v>
      </c>
      <c r="E268">
        <v>-1.1131975073805001</v>
      </c>
      <c r="F268">
        <v>-0.27706171403229402</v>
      </c>
      <c r="G268">
        <v>1184.6822941543101</v>
      </c>
      <c r="H268">
        <v>1259.6701538724799</v>
      </c>
      <c r="I268" t="s">
        <v>38</v>
      </c>
      <c r="J268" t="s">
        <v>95</v>
      </c>
      <c r="K268" t="s">
        <v>13</v>
      </c>
      <c r="L268" s="4" t="str">
        <f t="shared" si="4"/>
        <v>-0.70[-1.11,-0.28]</v>
      </c>
    </row>
    <row r="269" spans="1:12" x14ac:dyDescent="0.25">
      <c r="A269">
        <v>268</v>
      </c>
      <c r="B269" t="s">
        <v>146</v>
      </c>
      <c r="C269" t="s">
        <v>145</v>
      </c>
      <c r="D269">
        <v>0.13898513205387</v>
      </c>
      <c r="E269">
        <v>-0.37006043766906699</v>
      </c>
      <c r="F269">
        <v>0.64803070177680799</v>
      </c>
      <c r="G269">
        <v>1184.6822941543101</v>
      </c>
      <c r="H269">
        <v>1259.6701538724799</v>
      </c>
      <c r="I269" t="s">
        <v>38</v>
      </c>
      <c r="J269" t="s">
        <v>95</v>
      </c>
      <c r="K269" t="s">
        <v>13</v>
      </c>
      <c r="L269" s="4" t="str">
        <f t="shared" si="4"/>
        <v>0.14[-0.37,0.65]</v>
      </c>
    </row>
    <row r="270" spans="1:12" x14ac:dyDescent="0.25">
      <c r="A270">
        <v>269</v>
      </c>
      <c r="B270" t="s">
        <v>55</v>
      </c>
      <c r="C270" t="s">
        <v>30</v>
      </c>
      <c r="D270">
        <v>-1.3085277663318799</v>
      </c>
      <c r="E270">
        <v>-1.8795802840626701</v>
      </c>
      <c r="F270">
        <v>-0.73747524860109404</v>
      </c>
      <c r="G270">
        <v>1184.6822941543101</v>
      </c>
      <c r="H270">
        <v>1259.6701538724799</v>
      </c>
      <c r="I270" t="s">
        <v>38</v>
      </c>
      <c r="J270" t="s">
        <v>95</v>
      </c>
      <c r="K270" t="s">
        <v>13</v>
      </c>
      <c r="L270" s="4" t="str">
        <f t="shared" si="4"/>
        <v>-1.31[-1.88,-0.74]</v>
      </c>
    </row>
    <row r="271" spans="1:12" x14ac:dyDescent="0.25">
      <c r="A271">
        <v>270</v>
      </c>
      <c r="B271" t="s">
        <v>61</v>
      </c>
      <c r="C271" t="s">
        <v>36</v>
      </c>
      <c r="D271">
        <v>-0.58480359695460005</v>
      </c>
      <c r="E271">
        <v>-0.80773969001763202</v>
      </c>
      <c r="F271">
        <v>-0.36186750389156702</v>
      </c>
      <c r="G271">
        <v>1184.6822941543101</v>
      </c>
      <c r="H271">
        <v>1259.6701538724799</v>
      </c>
      <c r="I271" t="s">
        <v>38</v>
      </c>
      <c r="J271" t="s">
        <v>95</v>
      </c>
      <c r="K271" t="s">
        <v>13</v>
      </c>
      <c r="L271" s="4" t="str">
        <f t="shared" si="4"/>
        <v>-0.58[-0.81,-0.36]</v>
      </c>
    </row>
    <row r="272" spans="1:12" x14ac:dyDescent="0.25">
      <c r="A272">
        <v>271</v>
      </c>
      <c r="B272" t="s">
        <v>100</v>
      </c>
      <c r="C272" t="s">
        <v>96</v>
      </c>
      <c r="D272">
        <v>-1.30179576034126</v>
      </c>
      <c r="E272">
        <v>-2.1630901177028101</v>
      </c>
      <c r="F272">
        <v>-0.44050140297970902</v>
      </c>
      <c r="G272">
        <v>1184.6822941543101</v>
      </c>
      <c r="H272">
        <v>1259.6701538724799</v>
      </c>
      <c r="I272" t="s">
        <v>38</v>
      </c>
      <c r="J272" t="s">
        <v>95</v>
      </c>
      <c r="K272" t="s">
        <v>13</v>
      </c>
      <c r="L272" s="4" t="str">
        <f t="shared" si="4"/>
        <v>-1.30[-2.16,-0.44]</v>
      </c>
    </row>
    <row r="273" spans="1:12" x14ac:dyDescent="0.25">
      <c r="A273">
        <v>272</v>
      </c>
      <c r="B273" t="s">
        <v>52</v>
      </c>
      <c r="C273" t="s">
        <v>27</v>
      </c>
      <c r="D273">
        <v>-0.97731549182959199</v>
      </c>
      <c r="E273">
        <v>-1.6909117649335399</v>
      </c>
      <c r="F273">
        <v>-0.26371921872564502</v>
      </c>
      <c r="G273">
        <v>1184.6822941543101</v>
      </c>
      <c r="H273">
        <v>1259.6701538724799</v>
      </c>
      <c r="I273" t="s">
        <v>38</v>
      </c>
      <c r="J273" t="s">
        <v>95</v>
      </c>
      <c r="K273" t="s">
        <v>13</v>
      </c>
      <c r="L273" s="4" t="str">
        <f t="shared" si="4"/>
        <v>-0.98[-1.69,-0.26]</v>
      </c>
    </row>
    <row r="274" spans="1:12" x14ac:dyDescent="0.25">
      <c r="A274">
        <v>273</v>
      </c>
      <c r="B274" t="s">
        <v>99</v>
      </c>
      <c r="C274" t="s">
        <v>98</v>
      </c>
      <c r="D274">
        <v>0.66611926047916603</v>
      </c>
      <c r="E274">
        <v>-6.60701037842822E-2</v>
      </c>
      <c r="F274">
        <v>1.39830862474261</v>
      </c>
      <c r="G274">
        <v>1184.6822941543101</v>
      </c>
      <c r="H274">
        <v>1259.6701538724799</v>
      </c>
      <c r="I274" t="s">
        <v>38</v>
      </c>
      <c r="J274" t="s">
        <v>95</v>
      </c>
      <c r="K274" t="s">
        <v>13</v>
      </c>
      <c r="L274" s="4" t="str">
        <f t="shared" si="4"/>
        <v>0.67[-0.07,1.40]</v>
      </c>
    </row>
    <row r="275" spans="1:12" x14ac:dyDescent="0.25">
      <c r="A275">
        <v>274</v>
      </c>
      <c r="B275" t="s">
        <v>147</v>
      </c>
      <c r="C275" t="s">
        <v>109</v>
      </c>
      <c r="D275">
        <v>0.58303458338410497</v>
      </c>
      <c r="E275">
        <v>0.12637966904025899</v>
      </c>
      <c r="F275">
        <v>1.0396894977279501</v>
      </c>
      <c r="G275">
        <v>1184.6822941543101</v>
      </c>
      <c r="H275">
        <v>1259.6701538724799</v>
      </c>
      <c r="I275" t="s">
        <v>38</v>
      </c>
      <c r="J275" t="s">
        <v>95</v>
      </c>
      <c r="K275" t="s">
        <v>13</v>
      </c>
      <c r="L275" s="4" t="str">
        <f t="shared" si="4"/>
        <v>0.58[0.13,1.04]</v>
      </c>
    </row>
    <row r="276" spans="1:12" x14ac:dyDescent="0.25">
      <c r="A276">
        <v>275</v>
      </c>
      <c r="B276" t="s">
        <v>39</v>
      </c>
      <c r="C276" t="s">
        <v>14</v>
      </c>
      <c r="D276">
        <v>-12.645561405311501</v>
      </c>
      <c r="E276">
        <v>-26.214954112176699</v>
      </c>
      <c r="F276">
        <v>0.92383130155366899</v>
      </c>
      <c r="G276">
        <v>1184.6822941543101</v>
      </c>
      <c r="H276">
        <v>1259.6701538724799</v>
      </c>
      <c r="I276" t="s">
        <v>38</v>
      </c>
      <c r="J276" t="s">
        <v>95</v>
      </c>
      <c r="K276" t="s">
        <v>13</v>
      </c>
      <c r="L276" s="4" t="str">
        <f t="shared" si="4"/>
        <v>-12.65[-26.21,0.92]</v>
      </c>
    </row>
    <row r="277" spans="1:12" x14ac:dyDescent="0.25">
      <c r="A277">
        <v>276</v>
      </c>
      <c r="B277" t="s">
        <v>92</v>
      </c>
      <c r="C277" t="s">
        <v>90</v>
      </c>
      <c r="D277">
        <v>12.8617141733952</v>
      </c>
      <c r="E277">
        <v>-0.786848641878793</v>
      </c>
      <c r="F277">
        <v>26.510276988669201</v>
      </c>
      <c r="G277">
        <v>1184.6822941543101</v>
      </c>
      <c r="H277">
        <v>1259.6701538724799</v>
      </c>
      <c r="I277" t="s">
        <v>38</v>
      </c>
      <c r="J277" t="s">
        <v>95</v>
      </c>
      <c r="K277" t="s">
        <v>13</v>
      </c>
      <c r="L277" s="4" t="str">
        <f t="shared" si="4"/>
        <v>12.86[-0.79,26.51]</v>
      </c>
    </row>
    <row r="278" spans="1:12" x14ac:dyDescent="0.25">
      <c r="A278">
        <v>277</v>
      </c>
      <c r="B278" t="s">
        <v>111</v>
      </c>
      <c r="C278" t="s">
        <v>105</v>
      </c>
      <c r="D278">
        <v>0.34534360443256901</v>
      </c>
      <c r="E278">
        <v>-2.96833904445333E-2</v>
      </c>
      <c r="F278">
        <v>0.72037059930967196</v>
      </c>
      <c r="G278">
        <v>1184.6822941543101</v>
      </c>
      <c r="H278">
        <v>1259.6701538724799</v>
      </c>
      <c r="I278" t="s">
        <v>38</v>
      </c>
      <c r="J278" t="s">
        <v>95</v>
      </c>
      <c r="K278" t="s">
        <v>13</v>
      </c>
      <c r="L278" s="4" t="str">
        <f t="shared" si="4"/>
        <v>0.35[-0.03,0.72]</v>
      </c>
    </row>
    <row r="279" spans="1:12" x14ac:dyDescent="0.25">
      <c r="A279">
        <v>278</v>
      </c>
      <c r="B279" t="s">
        <v>59</v>
      </c>
      <c r="C279" t="s">
        <v>34</v>
      </c>
      <c r="D279">
        <v>-0.317900034890574</v>
      </c>
      <c r="E279">
        <v>-0.66666280744886297</v>
      </c>
      <c r="F279">
        <v>3.0862737667715599E-2</v>
      </c>
      <c r="G279">
        <v>1184.6822941543101</v>
      </c>
      <c r="H279">
        <v>1259.6701538724799</v>
      </c>
      <c r="I279" t="s">
        <v>38</v>
      </c>
      <c r="J279" t="s">
        <v>95</v>
      </c>
      <c r="K279" t="s">
        <v>13</v>
      </c>
      <c r="L279" s="4" t="str">
        <f t="shared" si="4"/>
        <v>-0.32[-0.67,0.03]</v>
      </c>
    </row>
    <row r="280" spans="1:12" x14ac:dyDescent="0.25">
      <c r="A280">
        <v>279</v>
      </c>
      <c r="B280" t="s">
        <v>62</v>
      </c>
      <c r="C280" t="s">
        <v>10</v>
      </c>
      <c r="D280">
        <v>64.362101910796198</v>
      </c>
      <c r="E280">
        <v>64.148441850169604</v>
      </c>
      <c r="F280">
        <v>64.575761971422693</v>
      </c>
      <c r="G280">
        <v>1322.3885706116801</v>
      </c>
      <c r="H280">
        <v>1397.3764303298401</v>
      </c>
      <c r="I280" t="s">
        <v>63</v>
      </c>
      <c r="J280" t="s">
        <v>95</v>
      </c>
      <c r="K280" t="s">
        <v>13</v>
      </c>
      <c r="L280" s="4" t="str">
        <f t="shared" si="4"/>
        <v>64.36[64.15,64.58]</v>
      </c>
    </row>
    <row r="281" spans="1:12" x14ac:dyDescent="0.25">
      <c r="A281">
        <v>280</v>
      </c>
      <c r="B281" t="s">
        <v>93</v>
      </c>
      <c r="C281" t="s">
        <v>89</v>
      </c>
      <c r="D281">
        <v>2.89403865650526</v>
      </c>
      <c r="E281">
        <v>2.0703874189548199</v>
      </c>
      <c r="F281">
        <v>3.7176898940556899</v>
      </c>
      <c r="G281">
        <v>1322.3885706116801</v>
      </c>
      <c r="H281">
        <v>1397.3764303298401</v>
      </c>
      <c r="I281" t="s">
        <v>63</v>
      </c>
      <c r="J281" t="s">
        <v>95</v>
      </c>
      <c r="K281" t="s">
        <v>13</v>
      </c>
      <c r="L281" s="4" t="str">
        <f t="shared" si="4"/>
        <v>2.89[2.07,3.72]</v>
      </c>
    </row>
    <row r="282" spans="1:12" x14ac:dyDescent="0.25">
      <c r="A282">
        <v>281</v>
      </c>
      <c r="B282" t="s">
        <v>67</v>
      </c>
      <c r="C282" t="s">
        <v>17</v>
      </c>
      <c r="D282">
        <v>-2.6124998527605201</v>
      </c>
      <c r="E282">
        <v>-2.9836866119402399</v>
      </c>
      <c r="F282">
        <v>-2.2413130935807999</v>
      </c>
      <c r="G282">
        <v>1322.3885706116801</v>
      </c>
      <c r="H282">
        <v>1397.3764303298401</v>
      </c>
      <c r="I282" t="s">
        <v>63</v>
      </c>
      <c r="J282" t="s">
        <v>95</v>
      </c>
      <c r="K282" t="s">
        <v>13</v>
      </c>
      <c r="L282" s="4" t="str">
        <f t="shared" si="4"/>
        <v>-2.61[-2.98,-2.24]</v>
      </c>
    </row>
    <row r="283" spans="1:12" x14ac:dyDescent="0.25">
      <c r="A283">
        <v>282</v>
      </c>
      <c r="B283" t="s">
        <v>69</v>
      </c>
      <c r="C283" t="s">
        <v>19</v>
      </c>
      <c r="D283">
        <v>-1.7825295605096201</v>
      </c>
      <c r="E283">
        <v>-2.1062575398560899</v>
      </c>
      <c r="F283">
        <v>-1.4588015811631601</v>
      </c>
      <c r="G283">
        <v>1322.3885706116801</v>
      </c>
      <c r="H283">
        <v>1397.3764303298401</v>
      </c>
      <c r="I283" t="s">
        <v>63</v>
      </c>
      <c r="J283" t="s">
        <v>95</v>
      </c>
      <c r="K283" t="s">
        <v>13</v>
      </c>
      <c r="L283" s="4" t="str">
        <f t="shared" si="4"/>
        <v>-1.78[-2.11,-1.46]</v>
      </c>
    </row>
    <row r="284" spans="1:12" x14ac:dyDescent="0.25">
      <c r="A284">
        <v>283</v>
      </c>
      <c r="B284" t="s">
        <v>70</v>
      </c>
      <c r="C284" t="s">
        <v>20</v>
      </c>
      <c r="D284">
        <v>-1.6821012105972799</v>
      </c>
      <c r="E284">
        <v>-2.11634850153788</v>
      </c>
      <c r="F284">
        <v>-1.24785391965669</v>
      </c>
      <c r="G284">
        <v>1322.3885706116801</v>
      </c>
      <c r="H284">
        <v>1397.3764303298401</v>
      </c>
      <c r="I284" t="s">
        <v>63</v>
      </c>
      <c r="J284" t="s">
        <v>95</v>
      </c>
      <c r="K284" t="s">
        <v>13</v>
      </c>
      <c r="L284" s="4" t="str">
        <f t="shared" si="4"/>
        <v>-1.68[-2.12,-1.25]</v>
      </c>
    </row>
    <row r="285" spans="1:12" x14ac:dyDescent="0.25">
      <c r="A285">
        <v>284</v>
      </c>
      <c r="B285" t="s">
        <v>73</v>
      </c>
      <c r="C285" t="s">
        <v>23</v>
      </c>
      <c r="D285">
        <v>0.74637751420975795</v>
      </c>
      <c r="E285">
        <v>-0.23179221013413201</v>
      </c>
      <c r="F285">
        <v>1.72454723855365</v>
      </c>
      <c r="G285">
        <v>1322.3885706116801</v>
      </c>
      <c r="H285">
        <v>1397.3764303298401</v>
      </c>
      <c r="I285" t="s">
        <v>63</v>
      </c>
      <c r="J285" t="s">
        <v>95</v>
      </c>
      <c r="K285" t="s">
        <v>13</v>
      </c>
      <c r="L285" s="4" t="str">
        <f t="shared" si="4"/>
        <v>0.75[-0.23,1.72]</v>
      </c>
    </row>
    <row r="286" spans="1:12" x14ac:dyDescent="0.25">
      <c r="A286">
        <v>285</v>
      </c>
      <c r="B286" t="s">
        <v>149</v>
      </c>
      <c r="C286" t="s">
        <v>97</v>
      </c>
      <c r="D286">
        <v>2.07713614220821</v>
      </c>
      <c r="E286">
        <v>1.05390255740201</v>
      </c>
      <c r="F286">
        <v>3.1003697270143999</v>
      </c>
      <c r="G286">
        <v>1322.3885706116801</v>
      </c>
      <c r="H286">
        <v>1397.3764303298401</v>
      </c>
      <c r="I286" t="s">
        <v>63</v>
      </c>
      <c r="J286" t="s">
        <v>95</v>
      </c>
      <c r="K286" t="s">
        <v>13</v>
      </c>
      <c r="L286" s="4" t="str">
        <f t="shared" si="4"/>
        <v>2.08[1.05,3.10]</v>
      </c>
    </row>
    <row r="287" spans="1:12" x14ac:dyDescent="0.25">
      <c r="A287">
        <v>286</v>
      </c>
      <c r="B287" t="s">
        <v>79</v>
      </c>
      <c r="C287" t="s">
        <v>29</v>
      </c>
      <c r="D287">
        <v>-1.0728734458304501</v>
      </c>
      <c r="E287">
        <v>-1.59344188244007</v>
      </c>
      <c r="F287">
        <v>-0.55230500922083403</v>
      </c>
      <c r="G287">
        <v>1322.3885706116801</v>
      </c>
      <c r="H287">
        <v>1397.3764303298401</v>
      </c>
      <c r="I287" t="s">
        <v>63</v>
      </c>
      <c r="J287" t="s">
        <v>95</v>
      </c>
      <c r="K287" t="s">
        <v>13</v>
      </c>
      <c r="L287" s="4" t="str">
        <f t="shared" si="4"/>
        <v>-1.07[-1.59,-0.55]</v>
      </c>
    </row>
    <row r="288" spans="1:12" x14ac:dyDescent="0.25">
      <c r="A288">
        <v>287</v>
      </c>
      <c r="B288" t="s">
        <v>150</v>
      </c>
      <c r="C288" t="s">
        <v>145</v>
      </c>
      <c r="D288">
        <v>0.17223178943780701</v>
      </c>
      <c r="E288">
        <v>-0.46161993297821002</v>
      </c>
      <c r="F288">
        <v>0.80608351185382299</v>
      </c>
      <c r="G288">
        <v>1322.3885706116801</v>
      </c>
      <c r="H288">
        <v>1397.3764303298401</v>
      </c>
      <c r="I288" t="s">
        <v>63</v>
      </c>
      <c r="J288" t="s">
        <v>95</v>
      </c>
      <c r="K288" t="s">
        <v>13</v>
      </c>
      <c r="L288" s="4" t="str">
        <f t="shared" si="4"/>
        <v>0.17[-0.46,0.81]</v>
      </c>
    </row>
    <row r="289" spans="1:12" x14ac:dyDescent="0.25">
      <c r="A289">
        <v>288</v>
      </c>
      <c r="B289" t="s">
        <v>80</v>
      </c>
      <c r="C289" t="s">
        <v>30</v>
      </c>
      <c r="D289">
        <v>-1.72140101049546</v>
      </c>
      <c r="E289">
        <v>-2.4324623446519902</v>
      </c>
      <c r="F289">
        <v>-1.0103396763389301</v>
      </c>
      <c r="G289">
        <v>1322.3885706116801</v>
      </c>
      <c r="H289">
        <v>1397.3764303298401</v>
      </c>
      <c r="I289" t="s">
        <v>63</v>
      </c>
      <c r="J289" t="s">
        <v>95</v>
      </c>
      <c r="K289" t="s">
        <v>13</v>
      </c>
      <c r="L289" s="4" t="str">
        <f t="shared" si="4"/>
        <v>-1.72[-2.43,-1.01]</v>
      </c>
    </row>
    <row r="290" spans="1:12" x14ac:dyDescent="0.25">
      <c r="A290">
        <v>289</v>
      </c>
      <c r="B290" t="s">
        <v>86</v>
      </c>
      <c r="C290" t="s">
        <v>36</v>
      </c>
      <c r="D290">
        <v>-0.63814237597136603</v>
      </c>
      <c r="E290">
        <v>-0.915737222054815</v>
      </c>
      <c r="F290">
        <v>-0.360547529887917</v>
      </c>
      <c r="G290">
        <v>1322.3885706116801</v>
      </c>
      <c r="H290">
        <v>1397.3764303298401</v>
      </c>
      <c r="I290" t="s">
        <v>63</v>
      </c>
      <c r="J290" t="s">
        <v>95</v>
      </c>
      <c r="K290" t="s">
        <v>13</v>
      </c>
      <c r="L290" s="4" t="str">
        <f t="shared" si="4"/>
        <v>-0.64[-0.92,-0.36]</v>
      </c>
    </row>
    <row r="291" spans="1:12" x14ac:dyDescent="0.25">
      <c r="A291">
        <v>290</v>
      </c>
      <c r="B291" t="s">
        <v>151</v>
      </c>
      <c r="C291" t="s">
        <v>96</v>
      </c>
      <c r="D291">
        <v>-1.83559659222968</v>
      </c>
      <c r="E291">
        <v>-2.90806032512879</v>
      </c>
      <c r="F291">
        <v>-0.76313285933057295</v>
      </c>
      <c r="G291">
        <v>1322.3885706116801</v>
      </c>
      <c r="H291">
        <v>1397.3764303298401</v>
      </c>
      <c r="I291" t="s">
        <v>63</v>
      </c>
      <c r="J291" t="s">
        <v>95</v>
      </c>
      <c r="K291" t="s">
        <v>13</v>
      </c>
      <c r="L291" s="4" t="str">
        <f t="shared" si="4"/>
        <v>-1.84[-2.91,-0.76]</v>
      </c>
    </row>
    <row r="292" spans="1:12" x14ac:dyDescent="0.25">
      <c r="A292">
        <v>291</v>
      </c>
      <c r="B292" t="s">
        <v>77</v>
      </c>
      <c r="C292" t="s">
        <v>27</v>
      </c>
      <c r="D292">
        <v>-1.0433622091152199</v>
      </c>
      <c r="E292">
        <v>-1.93191571732623</v>
      </c>
      <c r="F292">
        <v>-0.154808700904216</v>
      </c>
      <c r="G292">
        <v>1322.3885706116801</v>
      </c>
      <c r="H292">
        <v>1397.3764303298401</v>
      </c>
      <c r="I292" t="s">
        <v>63</v>
      </c>
      <c r="J292" t="s">
        <v>95</v>
      </c>
      <c r="K292" t="s">
        <v>13</v>
      </c>
      <c r="L292" s="4" t="str">
        <f t="shared" si="4"/>
        <v>-1.04[-1.93,-0.15]</v>
      </c>
    </row>
    <row r="293" spans="1:12" x14ac:dyDescent="0.25">
      <c r="A293">
        <v>292</v>
      </c>
      <c r="B293" t="s">
        <v>152</v>
      </c>
      <c r="C293" t="s">
        <v>98</v>
      </c>
      <c r="D293">
        <v>0.89488648125230597</v>
      </c>
      <c r="E293">
        <v>-1.6818712303694399E-2</v>
      </c>
      <c r="F293">
        <v>1.80659167480831</v>
      </c>
      <c r="G293">
        <v>1322.3885706116801</v>
      </c>
      <c r="H293">
        <v>1397.3764303298401</v>
      </c>
      <c r="I293" t="s">
        <v>63</v>
      </c>
      <c r="J293" t="s">
        <v>95</v>
      </c>
      <c r="K293" t="s">
        <v>13</v>
      </c>
      <c r="L293" s="4" t="str">
        <f t="shared" si="4"/>
        <v>0.89[-0.02,1.81]</v>
      </c>
    </row>
    <row r="294" spans="1:12" x14ac:dyDescent="0.25">
      <c r="A294">
        <v>293</v>
      </c>
      <c r="B294" t="s">
        <v>153</v>
      </c>
      <c r="C294" t="s">
        <v>109</v>
      </c>
      <c r="D294">
        <v>0.63961191664058303</v>
      </c>
      <c r="E294">
        <v>7.0995821692290906E-2</v>
      </c>
      <c r="F294">
        <v>1.2082280115888699</v>
      </c>
      <c r="G294">
        <v>1322.3885706116801</v>
      </c>
      <c r="H294">
        <v>1397.3764303298401</v>
      </c>
      <c r="I294" t="s">
        <v>63</v>
      </c>
      <c r="J294" t="s">
        <v>95</v>
      </c>
      <c r="K294" t="s">
        <v>13</v>
      </c>
      <c r="L294" s="4" t="str">
        <f t="shared" si="4"/>
        <v>0.64[0.07,1.21]</v>
      </c>
    </row>
    <row r="295" spans="1:12" x14ac:dyDescent="0.25">
      <c r="A295">
        <v>294</v>
      </c>
      <c r="B295" t="s">
        <v>64</v>
      </c>
      <c r="C295" t="s">
        <v>14</v>
      </c>
      <c r="D295">
        <v>-16.7640219103383</v>
      </c>
      <c r="E295">
        <v>-33.660314601908397</v>
      </c>
      <c r="F295">
        <v>0.132270781231906</v>
      </c>
      <c r="G295">
        <v>1322.3885706116801</v>
      </c>
      <c r="H295">
        <v>1397.3764303298401</v>
      </c>
      <c r="I295" t="s">
        <v>63</v>
      </c>
      <c r="J295" t="s">
        <v>95</v>
      </c>
      <c r="K295" t="s">
        <v>13</v>
      </c>
      <c r="L295" s="4" t="str">
        <f t="shared" si="4"/>
        <v>-16.76[-33.66,0.13]</v>
      </c>
    </row>
    <row r="296" spans="1:12" x14ac:dyDescent="0.25">
      <c r="A296">
        <v>295</v>
      </c>
      <c r="B296" t="s">
        <v>94</v>
      </c>
      <c r="C296" t="s">
        <v>90</v>
      </c>
      <c r="D296">
        <v>17.816335993972899</v>
      </c>
      <c r="E296">
        <v>0.82146252189207702</v>
      </c>
      <c r="F296">
        <v>34.811209466053803</v>
      </c>
      <c r="G296">
        <v>1322.3885706116801</v>
      </c>
      <c r="H296">
        <v>1397.3764303298401</v>
      </c>
      <c r="I296" t="s">
        <v>63</v>
      </c>
      <c r="J296" t="s">
        <v>95</v>
      </c>
      <c r="K296" t="s">
        <v>13</v>
      </c>
      <c r="L296" s="4" t="str">
        <f t="shared" si="4"/>
        <v>17.82[0.82,34.81]</v>
      </c>
    </row>
    <row r="297" spans="1:12" x14ac:dyDescent="0.25">
      <c r="A297">
        <v>296</v>
      </c>
      <c r="B297" t="s">
        <v>154</v>
      </c>
      <c r="C297" t="s">
        <v>105</v>
      </c>
      <c r="D297">
        <v>0.950926062351239</v>
      </c>
      <c r="E297">
        <v>0.48395115716792603</v>
      </c>
      <c r="F297">
        <v>1.41790096753455</v>
      </c>
      <c r="G297">
        <v>1322.3885706116801</v>
      </c>
      <c r="H297">
        <v>1397.3764303298401</v>
      </c>
      <c r="I297" t="s">
        <v>63</v>
      </c>
      <c r="J297" t="s">
        <v>95</v>
      </c>
      <c r="K297" t="s">
        <v>13</v>
      </c>
      <c r="L297" s="4" t="str">
        <f t="shared" si="4"/>
        <v>0.95[0.48,1.42]</v>
      </c>
    </row>
    <row r="298" spans="1:12" x14ac:dyDescent="0.25">
      <c r="A298">
        <v>297</v>
      </c>
      <c r="B298" t="s">
        <v>84</v>
      </c>
      <c r="C298" t="s">
        <v>34</v>
      </c>
      <c r="D298">
        <v>-0.83384939566044503</v>
      </c>
      <c r="E298">
        <v>-1.2681207011174001</v>
      </c>
      <c r="F298">
        <v>-0.399578090203494</v>
      </c>
      <c r="G298">
        <v>1322.3885706116801</v>
      </c>
      <c r="H298">
        <v>1397.3764303298401</v>
      </c>
      <c r="I298" t="s">
        <v>63</v>
      </c>
      <c r="J298" t="s">
        <v>95</v>
      </c>
      <c r="K298" t="s">
        <v>13</v>
      </c>
      <c r="L298" s="4" t="str">
        <f t="shared" si="4"/>
        <v>-0.83[-1.27,-0.40]</v>
      </c>
    </row>
    <row r="299" spans="1:12" x14ac:dyDescent="0.25">
      <c r="A299">
        <v>298</v>
      </c>
      <c r="B299">
        <v>1</v>
      </c>
      <c r="C299" t="s">
        <v>10</v>
      </c>
      <c r="D299">
        <v>82.639429029224999</v>
      </c>
      <c r="E299">
        <v>82.220402683264595</v>
      </c>
      <c r="F299">
        <v>83.058455375185403</v>
      </c>
      <c r="G299">
        <v>1214.99021017616</v>
      </c>
      <c r="H299">
        <v>1289.97806989433</v>
      </c>
      <c r="I299" t="s">
        <v>11</v>
      </c>
      <c r="J299" t="s">
        <v>95</v>
      </c>
      <c r="K299" t="s">
        <v>87</v>
      </c>
      <c r="L299" s="4" t="str">
        <f t="shared" si="4"/>
        <v>82.64[82.22,83.06]</v>
      </c>
    </row>
    <row r="300" spans="1:12" x14ac:dyDescent="0.25">
      <c r="A300">
        <v>299</v>
      </c>
      <c r="B300">
        <v>2</v>
      </c>
      <c r="C300" t="s">
        <v>89</v>
      </c>
      <c r="D300">
        <v>2.4291203952001301</v>
      </c>
      <c r="E300">
        <v>2.0909316478357201</v>
      </c>
      <c r="F300">
        <v>2.76730914256453</v>
      </c>
      <c r="G300">
        <v>1214.99021017616</v>
      </c>
      <c r="H300">
        <v>1289.97806989433</v>
      </c>
      <c r="I300" t="s">
        <v>11</v>
      </c>
      <c r="J300" t="s">
        <v>95</v>
      </c>
      <c r="K300" t="s">
        <v>87</v>
      </c>
      <c r="L300" s="4" t="str">
        <f t="shared" si="4"/>
        <v>2.43[2.09,2.77]</v>
      </c>
    </row>
    <row r="301" spans="1:12" x14ac:dyDescent="0.25">
      <c r="A301">
        <v>300</v>
      </c>
      <c r="B301">
        <v>3</v>
      </c>
      <c r="C301" t="s">
        <v>15</v>
      </c>
      <c r="D301">
        <v>0.54588716914848001</v>
      </c>
      <c r="E301">
        <v>0.25206030870643997</v>
      </c>
      <c r="F301">
        <v>0.839714029590519</v>
      </c>
      <c r="G301">
        <v>1214.99021017616</v>
      </c>
      <c r="H301">
        <v>1289.97806989433</v>
      </c>
      <c r="I301" t="s">
        <v>11</v>
      </c>
      <c r="J301" t="s">
        <v>95</v>
      </c>
      <c r="K301" t="s">
        <v>87</v>
      </c>
      <c r="L301" s="4" t="str">
        <f t="shared" si="4"/>
        <v>0.55[0.25,0.84]</v>
      </c>
    </row>
    <row r="302" spans="1:12" x14ac:dyDescent="0.25">
      <c r="A302">
        <v>301</v>
      </c>
      <c r="B302">
        <v>4</v>
      </c>
      <c r="C302" t="s">
        <v>17</v>
      </c>
      <c r="D302">
        <v>-2.5756119359665499</v>
      </c>
      <c r="E302">
        <v>-2.88816713631675</v>
      </c>
      <c r="F302">
        <v>-2.26305673561634</v>
      </c>
      <c r="G302">
        <v>1214.99021017616</v>
      </c>
      <c r="H302">
        <v>1289.97806989433</v>
      </c>
      <c r="I302" t="s">
        <v>11</v>
      </c>
      <c r="J302" t="s">
        <v>95</v>
      </c>
      <c r="K302" t="s">
        <v>87</v>
      </c>
      <c r="L302" s="4" t="str">
        <f t="shared" si="4"/>
        <v>-2.58[-2.89,-2.26]</v>
      </c>
    </row>
    <row r="303" spans="1:12" x14ac:dyDescent="0.25">
      <c r="A303">
        <v>302</v>
      </c>
      <c r="B303">
        <v>5</v>
      </c>
      <c r="C303" t="s">
        <v>19</v>
      </c>
      <c r="D303">
        <v>-0.64510011767500597</v>
      </c>
      <c r="E303">
        <v>-0.88732410992368904</v>
      </c>
      <c r="F303">
        <v>-0.40287612542632201</v>
      </c>
      <c r="G303">
        <v>1214.99021017616</v>
      </c>
      <c r="H303">
        <v>1289.97806989433</v>
      </c>
      <c r="I303" t="s">
        <v>11</v>
      </c>
      <c r="J303" t="s">
        <v>95</v>
      </c>
      <c r="K303" t="s">
        <v>87</v>
      </c>
      <c r="L303" s="4" t="str">
        <f t="shared" si="4"/>
        <v>-0.65[-0.89,-0.40]</v>
      </c>
    </row>
    <row r="304" spans="1:12" x14ac:dyDescent="0.25">
      <c r="A304">
        <v>303</v>
      </c>
      <c r="B304">
        <v>6</v>
      </c>
      <c r="C304" t="s">
        <v>20</v>
      </c>
      <c r="D304">
        <v>-1.12210693184402</v>
      </c>
      <c r="E304">
        <v>-1.43738823289423</v>
      </c>
      <c r="F304">
        <v>-0.80682563079381797</v>
      </c>
      <c r="G304">
        <v>1214.99021017616</v>
      </c>
      <c r="H304">
        <v>1289.97806989433</v>
      </c>
      <c r="I304" t="s">
        <v>11</v>
      </c>
      <c r="J304" t="s">
        <v>95</v>
      </c>
      <c r="K304" t="s">
        <v>87</v>
      </c>
      <c r="L304" s="4" t="str">
        <f t="shared" si="4"/>
        <v>-1.12[-1.44,-0.81]</v>
      </c>
    </row>
    <row r="305" spans="1:12" x14ac:dyDescent="0.25">
      <c r="A305">
        <v>304</v>
      </c>
      <c r="B305">
        <v>7</v>
      </c>
      <c r="C305" t="s">
        <v>27</v>
      </c>
      <c r="D305">
        <v>-2.1811772429049401</v>
      </c>
      <c r="E305">
        <v>-3.7122729307300402</v>
      </c>
      <c r="F305">
        <v>-0.65008155507984999</v>
      </c>
      <c r="G305">
        <v>1214.99021017616</v>
      </c>
      <c r="H305">
        <v>1289.97806989433</v>
      </c>
      <c r="I305" t="s">
        <v>11</v>
      </c>
      <c r="J305" t="s">
        <v>95</v>
      </c>
      <c r="K305" t="s">
        <v>87</v>
      </c>
      <c r="L305" s="4" t="str">
        <f t="shared" si="4"/>
        <v>-2.18[-3.71,-0.65]</v>
      </c>
    </row>
    <row r="306" spans="1:12" x14ac:dyDescent="0.25">
      <c r="A306">
        <v>305</v>
      </c>
      <c r="B306">
        <v>8</v>
      </c>
      <c r="C306" t="s">
        <v>28</v>
      </c>
      <c r="D306">
        <v>-0.34299913085578498</v>
      </c>
      <c r="E306">
        <v>-0.61324031302731996</v>
      </c>
      <c r="F306">
        <v>-7.2757948684249701E-2</v>
      </c>
      <c r="G306">
        <v>1214.99021017616</v>
      </c>
      <c r="H306">
        <v>1289.97806989433</v>
      </c>
      <c r="I306" t="s">
        <v>11</v>
      </c>
      <c r="J306" t="s">
        <v>95</v>
      </c>
      <c r="K306" t="s">
        <v>87</v>
      </c>
      <c r="L306" s="4" t="str">
        <f t="shared" si="4"/>
        <v>-0.34[-0.61,-0.07]</v>
      </c>
    </row>
    <row r="307" spans="1:12" x14ac:dyDescent="0.25">
      <c r="A307">
        <v>306</v>
      </c>
      <c r="B307">
        <v>9</v>
      </c>
      <c r="C307" t="s">
        <v>109</v>
      </c>
      <c r="D307">
        <v>0.65393825438369402</v>
      </c>
      <c r="E307">
        <v>0.18218700987616199</v>
      </c>
      <c r="F307">
        <v>1.12568949889123</v>
      </c>
      <c r="G307">
        <v>1214.99021017616</v>
      </c>
      <c r="H307">
        <v>1289.97806989433</v>
      </c>
      <c r="I307" t="s">
        <v>11</v>
      </c>
      <c r="J307" t="s">
        <v>95</v>
      </c>
      <c r="K307" t="s">
        <v>87</v>
      </c>
      <c r="L307" s="4" t="str">
        <f t="shared" si="4"/>
        <v>0.65[0.18,1.13]</v>
      </c>
    </row>
    <row r="308" spans="1:12" x14ac:dyDescent="0.25">
      <c r="A308">
        <v>307</v>
      </c>
      <c r="B308">
        <v>10</v>
      </c>
      <c r="C308" t="s">
        <v>32</v>
      </c>
      <c r="D308">
        <v>-0.18589734236229999</v>
      </c>
      <c r="E308">
        <v>-0.67951289056143604</v>
      </c>
      <c r="F308">
        <v>0.30771820583683701</v>
      </c>
      <c r="G308">
        <v>1214.99021017616</v>
      </c>
      <c r="H308">
        <v>1289.97806989433</v>
      </c>
      <c r="I308" t="s">
        <v>11</v>
      </c>
      <c r="J308" t="s">
        <v>95</v>
      </c>
      <c r="K308" t="s">
        <v>87</v>
      </c>
      <c r="L308" s="4" t="str">
        <f t="shared" si="4"/>
        <v>-0.19[-0.68,0.31]</v>
      </c>
    </row>
    <row r="309" spans="1:12" x14ac:dyDescent="0.25">
      <c r="A309">
        <v>308</v>
      </c>
      <c r="B309">
        <v>11</v>
      </c>
      <c r="C309" t="s">
        <v>36</v>
      </c>
      <c r="D309">
        <v>-0.38848755967954601</v>
      </c>
      <c r="E309">
        <v>-0.63026156168131697</v>
      </c>
      <c r="F309">
        <v>-0.146713557677776</v>
      </c>
      <c r="G309">
        <v>1214.99021017616</v>
      </c>
      <c r="H309">
        <v>1289.97806989433</v>
      </c>
      <c r="I309" t="s">
        <v>11</v>
      </c>
      <c r="J309" t="s">
        <v>95</v>
      </c>
      <c r="K309" t="s">
        <v>87</v>
      </c>
      <c r="L309" s="4" t="str">
        <f t="shared" si="4"/>
        <v>-0.39[-0.63,-0.15]</v>
      </c>
    </row>
    <row r="310" spans="1:12" x14ac:dyDescent="0.25">
      <c r="A310">
        <v>309</v>
      </c>
      <c r="B310">
        <v>12</v>
      </c>
      <c r="C310" t="s">
        <v>97</v>
      </c>
      <c r="D310">
        <v>1.0730578558558601</v>
      </c>
      <c r="E310">
        <v>0.23973472212370101</v>
      </c>
      <c r="F310">
        <v>1.9063809895880099</v>
      </c>
      <c r="G310">
        <v>1214.99021017616</v>
      </c>
      <c r="H310">
        <v>1289.97806989433</v>
      </c>
      <c r="I310" t="s">
        <v>11</v>
      </c>
      <c r="J310" t="s">
        <v>95</v>
      </c>
      <c r="K310" t="s">
        <v>87</v>
      </c>
      <c r="L310" s="4" t="str">
        <f t="shared" si="4"/>
        <v>1.07[0.24,1.91]</v>
      </c>
    </row>
    <row r="311" spans="1:12" x14ac:dyDescent="0.25">
      <c r="A311">
        <v>310</v>
      </c>
      <c r="B311">
        <v>13</v>
      </c>
      <c r="C311" t="s">
        <v>105</v>
      </c>
      <c r="D311">
        <v>0.30971813160612599</v>
      </c>
      <c r="E311">
        <v>-0.122278861668325</v>
      </c>
      <c r="F311">
        <v>0.741715124880578</v>
      </c>
      <c r="G311">
        <v>1214.99021017616</v>
      </c>
      <c r="H311">
        <v>1289.97806989433</v>
      </c>
      <c r="I311" t="s">
        <v>11</v>
      </c>
      <c r="J311" t="s">
        <v>95</v>
      </c>
      <c r="K311" t="s">
        <v>87</v>
      </c>
      <c r="L311" s="4" t="str">
        <f t="shared" si="4"/>
        <v>0.31[-0.12,0.74]</v>
      </c>
    </row>
    <row r="312" spans="1:12" x14ac:dyDescent="0.25">
      <c r="A312">
        <v>311</v>
      </c>
      <c r="B312">
        <v>14</v>
      </c>
      <c r="C312" t="s">
        <v>107</v>
      </c>
      <c r="D312">
        <v>0.77972789944367005</v>
      </c>
      <c r="E312">
        <v>-0.39245711772962699</v>
      </c>
      <c r="F312">
        <v>1.95191291661697</v>
      </c>
      <c r="G312">
        <v>1214.99021017616</v>
      </c>
      <c r="H312">
        <v>1289.97806989433</v>
      </c>
      <c r="I312" t="s">
        <v>11</v>
      </c>
      <c r="J312" t="s">
        <v>95</v>
      </c>
      <c r="K312" t="s">
        <v>87</v>
      </c>
      <c r="L312" s="4" t="str">
        <f t="shared" si="4"/>
        <v>0.78[-0.39,1.95]</v>
      </c>
    </row>
    <row r="313" spans="1:12" x14ac:dyDescent="0.25">
      <c r="A313">
        <v>312</v>
      </c>
      <c r="B313">
        <v>15</v>
      </c>
      <c r="C313" t="s">
        <v>98</v>
      </c>
      <c r="D313">
        <v>0.99682589586410797</v>
      </c>
      <c r="E313">
        <v>0.18297308406212201</v>
      </c>
      <c r="F313">
        <v>1.81067870766609</v>
      </c>
      <c r="G313">
        <v>1214.99021017616</v>
      </c>
      <c r="H313">
        <v>1289.97806989433</v>
      </c>
      <c r="I313" t="s">
        <v>11</v>
      </c>
      <c r="J313" t="s">
        <v>95</v>
      </c>
      <c r="K313" t="s">
        <v>87</v>
      </c>
      <c r="L313" s="4" t="str">
        <f t="shared" si="4"/>
        <v>1.00[0.18,1.81]</v>
      </c>
    </row>
    <row r="314" spans="1:12" x14ac:dyDescent="0.25">
      <c r="A314">
        <v>313</v>
      </c>
      <c r="B314">
        <v>16</v>
      </c>
      <c r="C314" t="s">
        <v>34</v>
      </c>
      <c r="D314">
        <v>-0.39784516628574301</v>
      </c>
      <c r="E314">
        <v>-0.73888828797409301</v>
      </c>
      <c r="F314">
        <v>-5.6802044597392798E-2</v>
      </c>
      <c r="G314">
        <v>1214.99021017616</v>
      </c>
      <c r="H314">
        <v>1289.97806989433</v>
      </c>
      <c r="I314" t="s">
        <v>11</v>
      </c>
      <c r="J314" t="s">
        <v>95</v>
      </c>
      <c r="K314" t="s">
        <v>87</v>
      </c>
      <c r="L314" s="4" t="str">
        <f t="shared" si="4"/>
        <v>-0.40[-0.74,-0.06]</v>
      </c>
    </row>
    <row r="315" spans="1:12" x14ac:dyDescent="0.25">
      <c r="A315">
        <v>314</v>
      </c>
      <c r="B315">
        <v>17</v>
      </c>
      <c r="C315" t="s">
        <v>96</v>
      </c>
      <c r="D315">
        <v>-1.1016967657607699</v>
      </c>
      <c r="E315">
        <v>-1.97436491527837</v>
      </c>
      <c r="F315">
        <v>-0.22902861624316601</v>
      </c>
      <c r="G315">
        <v>1214.99021017616</v>
      </c>
      <c r="H315">
        <v>1289.97806989433</v>
      </c>
      <c r="I315" t="s">
        <v>11</v>
      </c>
      <c r="J315" t="s">
        <v>95</v>
      </c>
      <c r="K315" t="s">
        <v>87</v>
      </c>
      <c r="L315" s="4" t="str">
        <f t="shared" si="4"/>
        <v>-1.10[-1.97,-0.23]</v>
      </c>
    </row>
    <row r="316" spans="1:12" x14ac:dyDescent="0.25">
      <c r="A316">
        <v>315</v>
      </c>
      <c r="B316">
        <v>18</v>
      </c>
      <c r="C316" t="s">
        <v>30</v>
      </c>
      <c r="D316">
        <v>-0.275091008918601</v>
      </c>
      <c r="E316">
        <v>-0.97870689587808501</v>
      </c>
      <c r="F316">
        <v>0.42852487804088302</v>
      </c>
      <c r="G316">
        <v>1214.99021017616</v>
      </c>
      <c r="H316">
        <v>1289.97806989433</v>
      </c>
      <c r="I316" t="s">
        <v>11</v>
      </c>
      <c r="J316" t="s">
        <v>95</v>
      </c>
      <c r="K316" t="s">
        <v>87</v>
      </c>
      <c r="L316" s="4" t="str">
        <f t="shared" si="4"/>
        <v>-0.28[-0.98,0.43]</v>
      </c>
    </row>
    <row r="317" spans="1:12" x14ac:dyDescent="0.25">
      <c r="A317">
        <v>316</v>
      </c>
      <c r="B317">
        <v>19</v>
      </c>
      <c r="C317" t="s">
        <v>10</v>
      </c>
      <c r="D317">
        <v>79.301838215049301</v>
      </c>
      <c r="E317">
        <v>78.887132835690693</v>
      </c>
      <c r="F317">
        <v>79.716543594407995</v>
      </c>
      <c r="G317">
        <v>1219.8922736002601</v>
      </c>
      <c r="H317">
        <v>1294.8801333184199</v>
      </c>
      <c r="I317" t="s">
        <v>38</v>
      </c>
      <c r="J317" t="s">
        <v>95</v>
      </c>
      <c r="K317" t="s">
        <v>87</v>
      </c>
      <c r="L317" s="4" t="str">
        <f t="shared" si="4"/>
        <v>79.30[78.89,79.72]</v>
      </c>
    </row>
    <row r="318" spans="1:12" x14ac:dyDescent="0.25">
      <c r="A318">
        <v>317</v>
      </c>
      <c r="B318">
        <v>20</v>
      </c>
      <c r="C318" t="s">
        <v>89</v>
      </c>
      <c r="D318">
        <v>2.8372864726444398</v>
      </c>
      <c r="E318">
        <v>2.4963707168770002</v>
      </c>
      <c r="F318">
        <v>3.1782022284118701</v>
      </c>
      <c r="G318">
        <v>1219.8922736002601</v>
      </c>
      <c r="H318">
        <v>1294.8801333184199</v>
      </c>
      <c r="I318" t="s">
        <v>38</v>
      </c>
      <c r="J318" t="s">
        <v>95</v>
      </c>
      <c r="K318" t="s">
        <v>87</v>
      </c>
      <c r="L318" s="4" t="str">
        <f t="shared" si="4"/>
        <v>2.84[2.50,3.18]</v>
      </c>
    </row>
    <row r="319" spans="1:12" x14ac:dyDescent="0.25">
      <c r="A319">
        <v>318</v>
      </c>
      <c r="B319">
        <v>21</v>
      </c>
      <c r="C319" t="s">
        <v>15</v>
      </c>
      <c r="D319">
        <v>0.60414855806324896</v>
      </c>
      <c r="E319">
        <v>0.30783070292362003</v>
      </c>
      <c r="F319">
        <v>0.90046641320287801</v>
      </c>
      <c r="G319">
        <v>1219.8922736002601</v>
      </c>
      <c r="H319">
        <v>1294.8801333184199</v>
      </c>
      <c r="I319" t="s">
        <v>38</v>
      </c>
      <c r="J319" t="s">
        <v>95</v>
      </c>
      <c r="K319" t="s">
        <v>87</v>
      </c>
      <c r="L319" s="4" t="str">
        <f t="shared" si="4"/>
        <v>0.60[0.31,0.90]</v>
      </c>
    </row>
    <row r="320" spans="1:12" x14ac:dyDescent="0.25">
      <c r="A320">
        <v>319</v>
      </c>
      <c r="B320">
        <v>22</v>
      </c>
      <c r="C320" t="s">
        <v>17</v>
      </c>
      <c r="D320">
        <v>-2.5712360788139699</v>
      </c>
      <c r="E320">
        <v>-2.8860867024838499</v>
      </c>
      <c r="F320">
        <v>-2.2563854551440898</v>
      </c>
      <c r="G320">
        <v>1219.8922736002601</v>
      </c>
      <c r="H320">
        <v>1294.8801333184199</v>
      </c>
      <c r="I320" t="s">
        <v>38</v>
      </c>
      <c r="J320" t="s">
        <v>95</v>
      </c>
      <c r="K320" t="s">
        <v>87</v>
      </c>
      <c r="L320" s="4" t="str">
        <f t="shared" si="4"/>
        <v>-2.57[-2.89,-2.26]</v>
      </c>
    </row>
    <row r="321" spans="1:12" x14ac:dyDescent="0.25">
      <c r="A321">
        <v>320</v>
      </c>
      <c r="B321">
        <v>23</v>
      </c>
      <c r="C321" t="s">
        <v>19</v>
      </c>
      <c r="D321">
        <v>-0.75529537073139497</v>
      </c>
      <c r="E321">
        <v>-0.99957348077599595</v>
      </c>
      <c r="F321">
        <v>-0.51101726068679498</v>
      </c>
      <c r="G321">
        <v>1219.8922736002601</v>
      </c>
      <c r="H321">
        <v>1294.8801333184199</v>
      </c>
      <c r="I321" t="s">
        <v>38</v>
      </c>
      <c r="J321" t="s">
        <v>95</v>
      </c>
      <c r="K321" t="s">
        <v>87</v>
      </c>
      <c r="L321" s="4" t="str">
        <f t="shared" si="4"/>
        <v>-0.76[-1.00,-0.51]</v>
      </c>
    </row>
    <row r="322" spans="1:12" x14ac:dyDescent="0.25">
      <c r="A322">
        <v>321</v>
      </c>
      <c r="B322">
        <v>24</v>
      </c>
      <c r="C322" t="s">
        <v>20</v>
      </c>
      <c r="D322">
        <v>-1.07124817156195</v>
      </c>
      <c r="E322">
        <v>-1.3887151615833599</v>
      </c>
      <c r="F322">
        <v>-0.75378118154052798</v>
      </c>
      <c r="G322">
        <v>1219.8922736002601</v>
      </c>
      <c r="H322">
        <v>1294.8801333184199</v>
      </c>
      <c r="I322" t="s">
        <v>38</v>
      </c>
      <c r="J322" t="s">
        <v>95</v>
      </c>
      <c r="K322" t="s">
        <v>87</v>
      </c>
      <c r="L322" s="4" t="str">
        <f t="shared" si="4"/>
        <v>-1.07[-1.39,-0.75]</v>
      </c>
    </row>
    <row r="323" spans="1:12" x14ac:dyDescent="0.25">
      <c r="A323">
        <v>322</v>
      </c>
      <c r="B323">
        <v>25</v>
      </c>
      <c r="C323" t="s">
        <v>27</v>
      </c>
      <c r="D323">
        <v>-2.889231271416</v>
      </c>
      <c r="E323">
        <v>-4.4327529956157603</v>
      </c>
      <c r="F323">
        <v>-1.3457095472162399</v>
      </c>
      <c r="G323">
        <v>1219.8922736002601</v>
      </c>
      <c r="H323">
        <v>1294.8801333184199</v>
      </c>
      <c r="I323" t="s">
        <v>38</v>
      </c>
      <c r="J323" t="s">
        <v>95</v>
      </c>
      <c r="K323" t="s">
        <v>87</v>
      </c>
      <c r="L323" s="4" t="str">
        <f t="shared" ref="L323:L379" si="5">TEXT(ROUND(D323,2),"0.00") &amp; "[" &amp; TEXT(ROUND(E323,2),"0.00") &amp; "," &amp; TEXT(ROUND(F323,2),"0.00") &amp; "]"</f>
        <v>-2.89[-4.43,-1.35]</v>
      </c>
    </row>
    <row r="324" spans="1:12" x14ac:dyDescent="0.25">
      <c r="A324">
        <v>323</v>
      </c>
      <c r="B324">
        <v>26</v>
      </c>
      <c r="C324" t="s">
        <v>28</v>
      </c>
      <c r="D324">
        <v>-0.37353754689775798</v>
      </c>
      <c r="E324">
        <v>-0.64587564949013998</v>
      </c>
      <c r="F324">
        <v>-0.101199444305376</v>
      </c>
      <c r="G324">
        <v>1219.8922736002601</v>
      </c>
      <c r="H324">
        <v>1294.8801333184199</v>
      </c>
      <c r="I324" t="s">
        <v>38</v>
      </c>
      <c r="J324" t="s">
        <v>95</v>
      </c>
      <c r="K324" t="s">
        <v>87</v>
      </c>
      <c r="L324" s="4" t="str">
        <f t="shared" si="5"/>
        <v>-0.37[-0.65,-0.10]</v>
      </c>
    </row>
    <row r="325" spans="1:12" x14ac:dyDescent="0.25">
      <c r="A325">
        <v>324</v>
      </c>
      <c r="B325">
        <v>27</v>
      </c>
      <c r="C325" t="s">
        <v>109</v>
      </c>
      <c r="D325">
        <v>0.686980957356779</v>
      </c>
      <c r="E325">
        <v>0.21133299534577701</v>
      </c>
      <c r="F325">
        <v>1.1626289193677799</v>
      </c>
      <c r="G325">
        <v>1219.8922736002601</v>
      </c>
      <c r="H325">
        <v>1294.8801333184199</v>
      </c>
      <c r="I325" t="s">
        <v>38</v>
      </c>
      <c r="J325" t="s">
        <v>95</v>
      </c>
      <c r="K325" t="s">
        <v>87</v>
      </c>
      <c r="L325" s="4" t="str">
        <f t="shared" si="5"/>
        <v>0.69[0.21,1.16]</v>
      </c>
    </row>
    <row r="326" spans="1:12" x14ac:dyDescent="0.25">
      <c r="A326">
        <v>325</v>
      </c>
      <c r="B326">
        <v>28</v>
      </c>
      <c r="C326" t="s">
        <v>32</v>
      </c>
      <c r="D326">
        <v>-5.7182502907835601E-2</v>
      </c>
      <c r="E326">
        <v>-0.55418038912042999</v>
      </c>
      <c r="F326">
        <v>0.439815383304758</v>
      </c>
      <c r="G326">
        <v>1219.8922736002601</v>
      </c>
      <c r="H326">
        <v>1294.8801333184199</v>
      </c>
      <c r="I326" t="s">
        <v>38</v>
      </c>
      <c r="J326" t="s">
        <v>95</v>
      </c>
      <c r="K326" t="s">
        <v>87</v>
      </c>
      <c r="L326" s="4" t="str">
        <f t="shared" si="5"/>
        <v>-0.06[-0.55,0.44]</v>
      </c>
    </row>
    <row r="327" spans="1:12" x14ac:dyDescent="0.25">
      <c r="A327">
        <v>326</v>
      </c>
      <c r="B327">
        <v>29</v>
      </c>
      <c r="C327" t="s">
        <v>36</v>
      </c>
      <c r="D327">
        <v>-0.44004848395496499</v>
      </c>
      <c r="E327">
        <v>-0.68338743564480897</v>
      </c>
      <c r="F327">
        <v>-0.196709532265122</v>
      </c>
      <c r="G327">
        <v>1219.8922736002601</v>
      </c>
      <c r="H327">
        <v>1294.8801333184199</v>
      </c>
      <c r="I327" t="s">
        <v>38</v>
      </c>
      <c r="J327" t="s">
        <v>95</v>
      </c>
      <c r="K327" t="s">
        <v>87</v>
      </c>
      <c r="L327" s="4" t="str">
        <f t="shared" si="5"/>
        <v>-0.44[-0.68,-0.20]</v>
      </c>
    </row>
    <row r="328" spans="1:12" x14ac:dyDescent="0.25">
      <c r="A328">
        <v>327</v>
      </c>
      <c r="B328">
        <v>30</v>
      </c>
      <c r="C328" t="s">
        <v>97</v>
      </c>
      <c r="D328">
        <v>1.1370666967626999</v>
      </c>
      <c r="E328">
        <v>0.29653617276767502</v>
      </c>
      <c r="F328">
        <v>1.9775972207577299</v>
      </c>
      <c r="G328">
        <v>1219.8922736002601</v>
      </c>
      <c r="H328">
        <v>1294.8801333184199</v>
      </c>
      <c r="I328" t="s">
        <v>38</v>
      </c>
      <c r="J328" t="s">
        <v>95</v>
      </c>
      <c r="K328" t="s">
        <v>87</v>
      </c>
      <c r="L328" s="4" t="str">
        <f t="shared" si="5"/>
        <v>1.14[0.30,1.98]</v>
      </c>
    </row>
    <row r="329" spans="1:12" x14ac:dyDescent="0.25">
      <c r="A329">
        <v>328</v>
      </c>
      <c r="B329">
        <v>31</v>
      </c>
      <c r="C329" t="s">
        <v>105</v>
      </c>
      <c r="D329">
        <v>0.52538321496012896</v>
      </c>
      <c r="E329">
        <v>8.97978389404194E-2</v>
      </c>
      <c r="F329">
        <v>0.960968590979838</v>
      </c>
      <c r="G329">
        <v>1219.8922736002601</v>
      </c>
      <c r="H329">
        <v>1294.8801333184199</v>
      </c>
      <c r="I329" t="s">
        <v>38</v>
      </c>
      <c r="J329" t="s">
        <v>95</v>
      </c>
      <c r="K329" t="s">
        <v>87</v>
      </c>
      <c r="L329" s="4" t="str">
        <f t="shared" si="5"/>
        <v>0.53[0.09,0.96]</v>
      </c>
    </row>
    <row r="330" spans="1:12" x14ac:dyDescent="0.25">
      <c r="A330">
        <v>329</v>
      </c>
      <c r="B330">
        <v>32</v>
      </c>
      <c r="C330" t="s">
        <v>107</v>
      </c>
      <c r="D330">
        <v>1.1982610032899199</v>
      </c>
      <c r="E330">
        <v>1.6599933021240999E-2</v>
      </c>
      <c r="F330">
        <v>2.37992207355861</v>
      </c>
      <c r="G330">
        <v>1219.8922736002601</v>
      </c>
      <c r="H330">
        <v>1294.8801333184199</v>
      </c>
      <c r="I330" t="s">
        <v>38</v>
      </c>
      <c r="J330" t="s">
        <v>95</v>
      </c>
      <c r="K330" t="s">
        <v>87</v>
      </c>
      <c r="L330" s="4" t="str">
        <f t="shared" si="5"/>
        <v>1.20[0.02,2.38]</v>
      </c>
    </row>
    <row r="331" spans="1:12" x14ac:dyDescent="0.25">
      <c r="A331">
        <v>330</v>
      </c>
      <c r="B331">
        <v>33</v>
      </c>
      <c r="C331" t="s">
        <v>98</v>
      </c>
      <c r="D331">
        <v>1.36332656428738</v>
      </c>
      <c r="E331">
        <v>0.54306474139460104</v>
      </c>
      <c r="F331">
        <v>2.1835883871801598</v>
      </c>
      <c r="G331">
        <v>1219.8922736002601</v>
      </c>
      <c r="H331">
        <v>1294.8801333184199</v>
      </c>
      <c r="I331" t="s">
        <v>38</v>
      </c>
      <c r="J331" t="s">
        <v>95</v>
      </c>
      <c r="K331" t="s">
        <v>87</v>
      </c>
      <c r="L331" s="4" t="str">
        <f t="shared" si="5"/>
        <v>1.36[0.54,2.18]</v>
      </c>
    </row>
    <row r="332" spans="1:12" x14ac:dyDescent="0.25">
      <c r="A332">
        <v>331</v>
      </c>
      <c r="B332">
        <v>34</v>
      </c>
      <c r="C332" t="s">
        <v>34</v>
      </c>
      <c r="D332">
        <v>-0.43088071462529798</v>
      </c>
      <c r="E332">
        <v>-0.77472423506546695</v>
      </c>
      <c r="F332">
        <v>-8.7037194185128702E-2</v>
      </c>
      <c r="G332">
        <v>1219.8922736002601</v>
      </c>
      <c r="H332">
        <v>1294.8801333184199</v>
      </c>
      <c r="I332" t="s">
        <v>38</v>
      </c>
      <c r="J332" t="s">
        <v>95</v>
      </c>
      <c r="K332" t="s">
        <v>87</v>
      </c>
      <c r="L332" s="4" t="str">
        <f t="shared" si="5"/>
        <v>-0.43[-0.77,-0.09]</v>
      </c>
    </row>
    <row r="333" spans="1:12" x14ac:dyDescent="0.25">
      <c r="A333">
        <v>332</v>
      </c>
      <c r="B333">
        <v>35</v>
      </c>
      <c r="C333" t="s">
        <v>96</v>
      </c>
      <c r="D333">
        <v>-1.11273131563423</v>
      </c>
      <c r="E333">
        <v>-1.99297512705617</v>
      </c>
      <c r="F333">
        <v>-0.232487504212288</v>
      </c>
      <c r="G333">
        <v>1219.8922736002601</v>
      </c>
      <c r="H333">
        <v>1294.8801333184199</v>
      </c>
      <c r="I333" t="s">
        <v>38</v>
      </c>
      <c r="J333" t="s">
        <v>95</v>
      </c>
      <c r="K333" t="s">
        <v>87</v>
      </c>
      <c r="L333" s="4" t="str">
        <f t="shared" si="5"/>
        <v>-1.11[-1.99,-0.23]</v>
      </c>
    </row>
    <row r="334" spans="1:12" x14ac:dyDescent="0.25">
      <c r="A334">
        <v>333</v>
      </c>
      <c r="B334">
        <v>36</v>
      </c>
      <c r="C334" t="s">
        <v>30</v>
      </c>
      <c r="D334">
        <v>-0.44888354807563902</v>
      </c>
      <c r="E334">
        <v>-1.1575608607761401</v>
      </c>
      <c r="F334">
        <v>0.25979376462485998</v>
      </c>
      <c r="G334">
        <v>1219.8922736002601</v>
      </c>
      <c r="H334">
        <v>1294.8801333184199</v>
      </c>
      <c r="I334" t="s">
        <v>38</v>
      </c>
      <c r="J334" t="s">
        <v>95</v>
      </c>
      <c r="K334" t="s">
        <v>87</v>
      </c>
      <c r="L334" s="4" t="str">
        <f t="shared" si="5"/>
        <v>-0.45[-1.16,0.26]</v>
      </c>
    </row>
    <row r="335" spans="1:12" x14ac:dyDescent="0.25">
      <c r="A335">
        <v>334</v>
      </c>
      <c r="B335">
        <v>37</v>
      </c>
      <c r="C335" t="s">
        <v>10</v>
      </c>
      <c r="D335">
        <v>64.382812238806807</v>
      </c>
      <c r="E335">
        <v>63.734096593923503</v>
      </c>
      <c r="F335">
        <v>65.031527883690003</v>
      </c>
      <c r="G335">
        <v>1364.69465449069</v>
      </c>
      <c r="H335">
        <v>1439.6825142088501</v>
      </c>
      <c r="I335" t="s">
        <v>63</v>
      </c>
      <c r="J335" t="s">
        <v>95</v>
      </c>
      <c r="K335" t="s">
        <v>87</v>
      </c>
      <c r="L335" s="4" t="str">
        <f t="shared" si="5"/>
        <v>64.38[63.73,65.03]</v>
      </c>
    </row>
    <row r="336" spans="1:12" x14ac:dyDescent="0.25">
      <c r="A336">
        <v>335</v>
      </c>
      <c r="B336">
        <v>38</v>
      </c>
      <c r="C336" t="s">
        <v>89</v>
      </c>
      <c r="D336">
        <v>3.4671127032497102</v>
      </c>
      <c r="E336">
        <v>3.03078722969222</v>
      </c>
      <c r="F336">
        <v>3.9034381768072102</v>
      </c>
      <c r="G336">
        <v>1364.69465449069</v>
      </c>
      <c r="H336">
        <v>1439.6825142088501</v>
      </c>
      <c r="I336" t="s">
        <v>63</v>
      </c>
      <c r="J336" t="s">
        <v>95</v>
      </c>
      <c r="K336" t="s">
        <v>87</v>
      </c>
      <c r="L336" s="4" t="str">
        <f t="shared" si="5"/>
        <v>3.47[3.03,3.90]</v>
      </c>
    </row>
    <row r="337" spans="1:12" x14ac:dyDescent="0.25">
      <c r="A337">
        <v>336</v>
      </c>
      <c r="B337">
        <v>39</v>
      </c>
      <c r="C337" t="s">
        <v>15</v>
      </c>
      <c r="D337">
        <v>-3.5551518816554203E-2</v>
      </c>
      <c r="E337">
        <v>-0.413164723518337</v>
      </c>
      <c r="F337">
        <v>0.34206168588522901</v>
      </c>
      <c r="G337">
        <v>1364.69465449069</v>
      </c>
      <c r="H337">
        <v>1439.6825142088501</v>
      </c>
      <c r="I337" t="s">
        <v>63</v>
      </c>
      <c r="J337" t="s">
        <v>95</v>
      </c>
      <c r="K337" t="s">
        <v>87</v>
      </c>
      <c r="L337" s="4" t="str">
        <f t="shared" si="5"/>
        <v>-0.04[-0.41,0.34]</v>
      </c>
    </row>
    <row r="338" spans="1:12" x14ac:dyDescent="0.25">
      <c r="A338">
        <v>337</v>
      </c>
      <c r="B338">
        <v>40</v>
      </c>
      <c r="C338" t="s">
        <v>17</v>
      </c>
      <c r="D338">
        <v>-2.3778846045531399</v>
      </c>
      <c r="E338">
        <v>-2.78340753852288</v>
      </c>
      <c r="F338">
        <v>-1.9723616705834099</v>
      </c>
      <c r="G338">
        <v>1364.69465449069</v>
      </c>
      <c r="H338">
        <v>1439.6825142088501</v>
      </c>
      <c r="I338" t="s">
        <v>63</v>
      </c>
      <c r="J338" t="s">
        <v>95</v>
      </c>
      <c r="K338" t="s">
        <v>87</v>
      </c>
      <c r="L338" s="4" t="str">
        <f t="shared" si="5"/>
        <v>-2.38[-2.78,-1.97]</v>
      </c>
    </row>
    <row r="339" spans="1:12" x14ac:dyDescent="0.25">
      <c r="A339">
        <v>338</v>
      </c>
      <c r="B339">
        <v>41</v>
      </c>
      <c r="C339" t="s">
        <v>19</v>
      </c>
      <c r="D339">
        <v>-1.9015185884235599</v>
      </c>
      <c r="E339">
        <v>-2.21288709616721</v>
      </c>
      <c r="F339">
        <v>-1.59015008067992</v>
      </c>
      <c r="G339">
        <v>1364.69465449069</v>
      </c>
      <c r="H339">
        <v>1439.6825142088501</v>
      </c>
      <c r="I339" t="s">
        <v>63</v>
      </c>
      <c r="J339" t="s">
        <v>95</v>
      </c>
      <c r="K339" t="s">
        <v>87</v>
      </c>
      <c r="L339" s="4" t="str">
        <f t="shared" si="5"/>
        <v>-1.90[-2.21,-1.59]</v>
      </c>
    </row>
    <row r="340" spans="1:12" x14ac:dyDescent="0.25">
      <c r="A340">
        <v>339</v>
      </c>
      <c r="B340">
        <v>42</v>
      </c>
      <c r="C340" t="s">
        <v>20</v>
      </c>
      <c r="D340">
        <v>-1.4934538923876099</v>
      </c>
      <c r="E340">
        <v>-1.9041721604132</v>
      </c>
      <c r="F340">
        <v>-1.0827356243620101</v>
      </c>
      <c r="G340">
        <v>1364.69465449069</v>
      </c>
      <c r="H340">
        <v>1439.6825142088501</v>
      </c>
      <c r="I340" t="s">
        <v>63</v>
      </c>
      <c r="J340" t="s">
        <v>95</v>
      </c>
      <c r="K340" t="s">
        <v>87</v>
      </c>
      <c r="L340" s="4" t="str">
        <f t="shared" si="5"/>
        <v>-1.49[-1.90,-1.08]</v>
      </c>
    </row>
    <row r="341" spans="1:12" x14ac:dyDescent="0.25">
      <c r="A341">
        <v>340</v>
      </c>
      <c r="B341">
        <v>43</v>
      </c>
      <c r="C341" t="s">
        <v>27</v>
      </c>
      <c r="D341">
        <v>-1.7009340425258801</v>
      </c>
      <c r="E341">
        <v>-3.6734803329798398</v>
      </c>
      <c r="F341">
        <v>0.27161224792808403</v>
      </c>
      <c r="G341">
        <v>1364.69465449069</v>
      </c>
      <c r="H341">
        <v>1439.6825142088501</v>
      </c>
      <c r="I341" t="s">
        <v>63</v>
      </c>
      <c r="J341" t="s">
        <v>95</v>
      </c>
      <c r="K341" t="s">
        <v>87</v>
      </c>
      <c r="L341" s="4" t="str">
        <f t="shared" si="5"/>
        <v>-1.70[-3.67,0.27]</v>
      </c>
    </row>
    <row r="342" spans="1:12" x14ac:dyDescent="0.25">
      <c r="A342">
        <v>341</v>
      </c>
      <c r="B342">
        <v>44</v>
      </c>
      <c r="C342" t="s">
        <v>28</v>
      </c>
      <c r="D342">
        <v>-0.33412612706609301</v>
      </c>
      <c r="E342">
        <v>-0.68321918756061795</v>
      </c>
      <c r="F342">
        <v>1.49669334284314E-2</v>
      </c>
      <c r="G342">
        <v>1364.69465449069</v>
      </c>
      <c r="H342">
        <v>1439.6825142088501</v>
      </c>
      <c r="I342" t="s">
        <v>63</v>
      </c>
      <c r="J342" t="s">
        <v>95</v>
      </c>
      <c r="K342" t="s">
        <v>87</v>
      </c>
      <c r="L342" s="4" t="str">
        <f t="shared" si="5"/>
        <v>-0.33[-0.68,0.01]</v>
      </c>
    </row>
    <row r="343" spans="1:12" x14ac:dyDescent="0.25">
      <c r="A343">
        <v>342</v>
      </c>
      <c r="B343">
        <v>45</v>
      </c>
      <c r="C343" t="s">
        <v>109</v>
      </c>
      <c r="D343">
        <v>0.90045553702076497</v>
      </c>
      <c r="E343">
        <v>0.29317779778637099</v>
      </c>
      <c r="F343">
        <v>1.5077332762551601</v>
      </c>
      <c r="G343">
        <v>1364.69465449069</v>
      </c>
      <c r="H343">
        <v>1439.6825142088501</v>
      </c>
      <c r="I343" t="s">
        <v>63</v>
      </c>
      <c r="J343" t="s">
        <v>95</v>
      </c>
      <c r="K343" t="s">
        <v>87</v>
      </c>
      <c r="L343" s="4" t="str">
        <f t="shared" si="5"/>
        <v>0.90[0.29,1.51]</v>
      </c>
    </row>
    <row r="344" spans="1:12" x14ac:dyDescent="0.25">
      <c r="A344">
        <v>343</v>
      </c>
      <c r="B344">
        <v>46</v>
      </c>
      <c r="C344" t="s">
        <v>32</v>
      </c>
      <c r="D344">
        <v>-0.31872248287667998</v>
      </c>
      <c r="E344">
        <v>-0.961344396155</v>
      </c>
      <c r="F344">
        <v>0.32389943040164099</v>
      </c>
      <c r="G344">
        <v>1364.69465449069</v>
      </c>
      <c r="H344">
        <v>1439.6825142088501</v>
      </c>
      <c r="I344" t="s">
        <v>63</v>
      </c>
      <c r="J344" t="s">
        <v>95</v>
      </c>
      <c r="K344" t="s">
        <v>87</v>
      </c>
      <c r="L344" s="4" t="str">
        <f t="shared" si="5"/>
        <v>-0.32[-0.96,0.32]</v>
      </c>
    </row>
    <row r="345" spans="1:12" x14ac:dyDescent="0.25">
      <c r="A345">
        <v>344</v>
      </c>
      <c r="B345">
        <v>47</v>
      </c>
      <c r="C345" t="s">
        <v>36</v>
      </c>
      <c r="D345">
        <v>-0.36806488634767298</v>
      </c>
      <c r="E345">
        <v>-0.68393935678391304</v>
      </c>
      <c r="F345">
        <v>-5.21904159114326E-2</v>
      </c>
      <c r="G345">
        <v>1364.69465449069</v>
      </c>
      <c r="H345">
        <v>1439.6825142088501</v>
      </c>
      <c r="I345" t="s">
        <v>63</v>
      </c>
      <c r="J345" t="s">
        <v>95</v>
      </c>
      <c r="K345" t="s">
        <v>87</v>
      </c>
      <c r="L345" s="4" t="str">
        <f t="shared" si="5"/>
        <v>-0.37[-0.68,-0.05]</v>
      </c>
    </row>
    <row r="346" spans="1:12" x14ac:dyDescent="0.25">
      <c r="A346">
        <v>345</v>
      </c>
      <c r="B346">
        <v>48</v>
      </c>
      <c r="C346" t="s">
        <v>97</v>
      </c>
      <c r="D346">
        <v>1.91922690601144</v>
      </c>
      <c r="E346">
        <v>0.84958778228269705</v>
      </c>
      <c r="F346">
        <v>2.9888660297401901</v>
      </c>
      <c r="G346">
        <v>1364.69465449069</v>
      </c>
      <c r="H346">
        <v>1439.6825142088501</v>
      </c>
      <c r="I346" t="s">
        <v>63</v>
      </c>
      <c r="J346" t="s">
        <v>95</v>
      </c>
      <c r="K346" t="s">
        <v>87</v>
      </c>
      <c r="L346" s="4" t="str">
        <f t="shared" si="5"/>
        <v>1.92[0.85,2.99]</v>
      </c>
    </row>
    <row r="347" spans="1:12" x14ac:dyDescent="0.25">
      <c r="A347">
        <v>346</v>
      </c>
      <c r="B347">
        <v>49</v>
      </c>
      <c r="C347" t="s">
        <v>105</v>
      </c>
      <c r="D347">
        <v>0.88657552179350496</v>
      </c>
      <c r="E347">
        <v>0.33060486092295199</v>
      </c>
      <c r="F347">
        <v>1.44254618266406</v>
      </c>
      <c r="G347">
        <v>1364.69465449069</v>
      </c>
      <c r="H347">
        <v>1439.6825142088501</v>
      </c>
      <c r="I347" t="s">
        <v>63</v>
      </c>
      <c r="J347" t="s">
        <v>95</v>
      </c>
      <c r="K347" t="s">
        <v>87</v>
      </c>
      <c r="L347" s="4" t="str">
        <f t="shared" si="5"/>
        <v>0.89[0.33,1.44]</v>
      </c>
    </row>
    <row r="348" spans="1:12" x14ac:dyDescent="0.25">
      <c r="A348">
        <v>347</v>
      </c>
      <c r="B348">
        <v>50</v>
      </c>
      <c r="C348" t="s">
        <v>107</v>
      </c>
      <c r="D348">
        <v>0.119601620392751</v>
      </c>
      <c r="E348">
        <v>-1.3909507299064501</v>
      </c>
      <c r="F348">
        <v>1.6301539706919601</v>
      </c>
      <c r="G348">
        <v>1364.69465449069</v>
      </c>
      <c r="H348">
        <v>1439.6825142088501</v>
      </c>
      <c r="I348" t="s">
        <v>63</v>
      </c>
      <c r="J348" t="s">
        <v>95</v>
      </c>
      <c r="K348" t="s">
        <v>87</v>
      </c>
      <c r="L348" s="4" t="str">
        <f t="shared" si="5"/>
        <v>0.12[-1.39,1.63]</v>
      </c>
    </row>
    <row r="349" spans="1:12" x14ac:dyDescent="0.25">
      <c r="A349">
        <v>348</v>
      </c>
      <c r="B349">
        <v>51</v>
      </c>
      <c r="C349" t="s">
        <v>98</v>
      </c>
      <c r="D349">
        <v>0.72752993320696702</v>
      </c>
      <c r="E349">
        <v>-0.32306549771012799</v>
      </c>
      <c r="F349">
        <v>1.77812536412406</v>
      </c>
      <c r="G349">
        <v>1364.69465449069</v>
      </c>
      <c r="H349">
        <v>1439.6825142088501</v>
      </c>
      <c r="I349" t="s">
        <v>63</v>
      </c>
      <c r="J349" t="s">
        <v>95</v>
      </c>
      <c r="K349" t="s">
        <v>87</v>
      </c>
      <c r="L349" s="4" t="str">
        <f t="shared" si="5"/>
        <v>0.73[-0.32,1.78]</v>
      </c>
    </row>
    <row r="350" spans="1:12" x14ac:dyDescent="0.25">
      <c r="A350">
        <v>349</v>
      </c>
      <c r="B350">
        <v>52</v>
      </c>
      <c r="C350" t="s">
        <v>34</v>
      </c>
      <c r="D350">
        <v>-0.82987052342002798</v>
      </c>
      <c r="E350">
        <v>-1.26894862385511</v>
      </c>
      <c r="F350">
        <v>-0.39079242298494998</v>
      </c>
      <c r="G350">
        <v>1364.69465449069</v>
      </c>
      <c r="H350">
        <v>1439.6825142088501</v>
      </c>
      <c r="I350" t="s">
        <v>63</v>
      </c>
      <c r="J350" t="s">
        <v>95</v>
      </c>
      <c r="K350" t="s">
        <v>87</v>
      </c>
      <c r="L350" s="4" t="str">
        <f t="shared" si="5"/>
        <v>-0.83[-1.27,-0.39]</v>
      </c>
    </row>
    <row r="351" spans="1:12" x14ac:dyDescent="0.25">
      <c r="A351">
        <v>350</v>
      </c>
      <c r="B351">
        <v>53</v>
      </c>
      <c r="C351" t="s">
        <v>96</v>
      </c>
      <c r="D351">
        <v>-1.88736927997295</v>
      </c>
      <c r="E351">
        <v>-3.0072376650089501</v>
      </c>
      <c r="F351">
        <v>-0.76750089493695495</v>
      </c>
      <c r="G351">
        <v>1364.69465449069</v>
      </c>
      <c r="H351">
        <v>1439.6825142088501</v>
      </c>
      <c r="I351" t="s">
        <v>63</v>
      </c>
      <c r="J351" t="s">
        <v>95</v>
      </c>
      <c r="K351" t="s">
        <v>87</v>
      </c>
      <c r="L351" s="4" t="str">
        <f t="shared" si="5"/>
        <v>-1.89[-3.01,-0.77]</v>
      </c>
    </row>
    <row r="352" spans="1:12" x14ac:dyDescent="0.25">
      <c r="A352">
        <v>351</v>
      </c>
      <c r="B352">
        <v>54</v>
      </c>
      <c r="C352" t="s">
        <v>30</v>
      </c>
      <c r="D352">
        <v>-1.25286418875449</v>
      </c>
      <c r="E352">
        <v>-2.1663418519321</v>
      </c>
      <c r="F352">
        <v>-0.33938652557688198</v>
      </c>
      <c r="G352">
        <v>1364.69465449069</v>
      </c>
      <c r="H352">
        <v>1439.6825142088501</v>
      </c>
      <c r="I352" t="s">
        <v>63</v>
      </c>
      <c r="J352" t="s">
        <v>95</v>
      </c>
      <c r="K352" t="s">
        <v>87</v>
      </c>
      <c r="L352" s="4" t="str">
        <f t="shared" si="5"/>
        <v>-1.25[-2.17,-0.34]</v>
      </c>
    </row>
    <row r="353" spans="12:12" x14ac:dyDescent="0.25">
      <c r="L353" s="4" t="str">
        <f t="shared" si="5"/>
        <v>0.00[0.00,0.00]</v>
      </c>
    </row>
    <row r="354" spans="12:12" x14ac:dyDescent="0.25">
      <c r="L354" s="4" t="str">
        <f t="shared" si="5"/>
        <v>0.00[0.00,0.00]</v>
      </c>
    </row>
    <row r="355" spans="12:12" x14ac:dyDescent="0.25">
      <c r="L355" s="4" t="str">
        <f t="shared" si="5"/>
        <v>0.00[0.00,0.00]</v>
      </c>
    </row>
    <row r="356" spans="12:12" x14ac:dyDescent="0.25">
      <c r="L356" s="4" t="str">
        <f t="shared" si="5"/>
        <v>0.00[0.00,0.00]</v>
      </c>
    </row>
    <row r="357" spans="12:12" x14ac:dyDescent="0.25">
      <c r="L357" s="4" t="str">
        <f t="shared" si="5"/>
        <v>0.00[0.00,0.00]</v>
      </c>
    </row>
    <row r="358" spans="12:12" x14ac:dyDescent="0.25">
      <c r="L358" s="4" t="str">
        <f t="shared" si="5"/>
        <v>0.00[0.00,0.00]</v>
      </c>
    </row>
    <row r="359" spans="12:12" x14ac:dyDescent="0.25">
      <c r="L359" s="4" t="str">
        <f t="shared" si="5"/>
        <v>0.00[0.00,0.00]</v>
      </c>
    </row>
    <row r="360" spans="12:12" x14ac:dyDescent="0.25">
      <c r="L360" s="4" t="str">
        <f t="shared" si="5"/>
        <v>0.00[0.00,0.00]</v>
      </c>
    </row>
    <row r="361" spans="12:12" x14ac:dyDescent="0.25">
      <c r="L361" s="4" t="str">
        <f t="shared" si="5"/>
        <v>0.00[0.00,0.00]</v>
      </c>
    </row>
    <row r="362" spans="12:12" x14ac:dyDescent="0.25">
      <c r="L362" s="4" t="str">
        <f t="shared" si="5"/>
        <v>0.00[0.00,0.00]</v>
      </c>
    </row>
    <row r="363" spans="12:12" x14ac:dyDescent="0.25">
      <c r="L363" s="4" t="str">
        <f t="shared" si="5"/>
        <v>0.00[0.00,0.00]</v>
      </c>
    </row>
    <row r="364" spans="12:12" x14ac:dyDescent="0.25">
      <c r="L364" s="4" t="str">
        <f t="shared" si="5"/>
        <v>0.00[0.00,0.00]</v>
      </c>
    </row>
    <row r="365" spans="12:12" x14ac:dyDescent="0.25">
      <c r="L365" s="4" t="str">
        <f t="shared" si="5"/>
        <v>0.00[0.00,0.00]</v>
      </c>
    </row>
    <row r="366" spans="12:12" x14ac:dyDescent="0.25">
      <c r="L366" s="4" t="str">
        <f t="shared" si="5"/>
        <v>0.00[0.00,0.00]</v>
      </c>
    </row>
    <row r="367" spans="12:12" x14ac:dyDescent="0.25">
      <c r="L367" s="4" t="str">
        <f t="shared" si="5"/>
        <v>0.00[0.00,0.00]</v>
      </c>
    </row>
    <row r="368" spans="12:12" x14ac:dyDescent="0.25">
      <c r="L368" s="4" t="str">
        <f t="shared" si="5"/>
        <v>0.00[0.00,0.00]</v>
      </c>
    </row>
    <row r="369" spans="12:12" x14ac:dyDescent="0.25">
      <c r="L369" s="4" t="str">
        <f t="shared" si="5"/>
        <v>0.00[0.00,0.00]</v>
      </c>
    </row>
    <row r="370" spans="12:12" x14ac:dyDescent="0.25">
      <c r="L370" s="4" t="str">
        <f t="shared" si="5"/>
        <v>0.00[0.00,0.00]</v>
      </c>
    </row>
    <row r="371" spans="12:12" x14ac:dyDescent="0.25">
      <c r="L371" s="4" t="str">
        <f t="shared" si="5"/>
        <v>0.00[0.00,0.00]</v>
      </c>
    </row>
    <row r="372" spans="12:12" x14ac:dyDescent="0.25">
      <c r="L372" s="4" t="str">
        <f t="shared" si="5"/>
        <v>0.00[0.00,0.00]</v>
      </c>
    </row>
    <row r="373" spans="12:12" x14ac:dyDescent="0.25">
      <c r="L373" s="4" t="str">
        <f t="shared" si="5"/>
        <v>0.00[0.00,0.00]</v>
      </c>
    </row>
    <row r="374" spans="12:12" x14ac:dyDescent="0.25">
      <c r="L374" s="4" t="str">
        <f t="shared" si="5"/>
        <v>0.00[0.00,0.00]</v>
      </c>
    </row>
    <row r="375" spans="12:12" x14ac:dyDescent="0.25">
      <c r="L375" s="4" t="str">
        <f t="shared" si="5"/>
        <v>0.00[0.00,0.00]</v>
      </c>
    </row>
    <row r="376" spans="12:12" x14ac:dyDescent="0.25">
      <c r="L376" s="4" t="str">
        <f t="shared" si="5"/>
        <v>0.00[0.00,0.00]</v>
      </c>
    </row>
    <row r="377" spans="12:12" x14ac:dyDescent="0.25">
      <c r="L377" s="4" t="str">
        <f t="shared" si="5"/>
        <v>0.00[0.00,0.00]</v>
      </c>
    </row>
    <row r="378" spans="12:12" x14ac:dyDescent="0.25">
      <c r="L378" s="4" t="str">
        <f t="shared" si="5"/>
        <v>0.00[0.00,0.00]</v>
      </c>
    </row>
    <row r="379" spans="12:12" x14ac:dyDescent="0.25">
      <c r="L379" s="4" t="str">
        <f t="shared" si="5"/>
        <v>0.00[0.00,0.00]</v>
      </c>
    </row>
  </sheetData>
  <autoFilter ref="A1:R379" xr:uid="{7BFE161E-34DB-4824-8E20-D9C4AE2B97A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890C-C2F5-49DD-86B4-243B1E7B448B}">
  <sheetPr>
    <tabColor theme="3" tint="0.89999084444715716"/>
  </sheetPr>
  <dimension ref="A1:AE35"/>
  <sheetViews>
    <sheetView topLeftCell="A2" zoomScaleNormal="100" workbookViewId="0">
      <selection activeCell="B29" sqref="B29"/>
    </sheetView>
  </sheetViews>
  <sheetFormatPr defaultRowHeight="15" x14ac:dyDescent="0.25"/>
  <cols>
    <col min="1" max="1" width="39.140625" bestFit="1" customWidth="1"/>
    <col min="2" max="2" width="39.140625" customWidth="1"/>
    <col min="3" max="4" width="19.28515625" customWidth="1"/>
    <col min="5" max="5" width="2.140625" customWidth="1"/>
    <col min="6" max="6" width="18.85546875" customWidth="1"/>
    <col min="7" max="7" width="18.85546875" bestFit="1" customWidth="1"/>
    <col min="8" max="8" width="1.85546875" customWidth="1"/>
    <col min="9" max="9" width="15.7109375" bestFit="1" customWidth="1"/>
    <col min="10" max="10" width="16.140625" bestFit="1" customWidth="1"/>
    <col min="11" max="13" width="11.7109375" hidden="1" customWidth="1"/>
    <col min="14" max="14" width="12.7109375" bestFit="1" customWidth="1"/>
    <col min="15" max="16" width="16.140625" bestFit="1" customWidth="1"/>
    <col min="17" max="17" width="12.7109375" bestFit="1" customWidth="1"/>
    <col min="18" max="19" width="16.140625" bestFit="1" customWidth="1"/>
    <col min="20" max="22" width="11.7109375" hidden="1" customWidth="1"/>
    <col min="23" max="23" width="12.7109375" bestFit="1" customWidth="1"/>
    <col min="24" max="25" width="16.140625" bestFit="1" customWidth="1"/>
    <col min="26" max="26" width="12.7109375" bestFit="1" customWidth="1"/>
    <col min="27" max="28" width="16.140625" bestFit="1" customWidth="1"/>
    <col min="29" max="31" width="11.7109375" hidden="1" customWidth="1"/>
    <col min="32" max="35" width="15.28515625" bestFit="1" customWidth="1"/>
    <col min="36" max="36" width="14.5703125" bestFit="1" customWidth="1"/>
    <col min="37" max="37" width="15.28515625" bestFit="1" customWidth="1"/>
    <col min="38" max="38" width="14.28515625" bestFit="1" customWidth="1"/>
    <col min="39" max="39" width="14.5703125" bestFit="1" customWidth="1"/>
    <col min="40" max="41" width="15.28515625" bestFit="1" customWidth="1"/>
    <col min="42" max="42" width="14.5703125" bestFit="1" customWidth="1"/>
    <col min="43" max="44" width="15.28515625" bestFit="1" customWidth="1"/>
    <col min="45" max="45" width="14.28515625" bestFit="1" customWidth="1"/>
    <col min="46" max="48" width="15.28515625" bestFit="1" customWidth="1"/>
    <col min="49" max="49" width="14.28515625" bestFit="1" customWidth="1"/>
    <col min="50" max="50" width="14.5703125" bestFit="1" customWidth="1"/>
    <col min="51" max="52" width="15.28515625" bestFit="1" customWidth="1"/>
    <col min="53" max="53" width="14.5703125" bestFit="1" customWidth="1"/>
    <col min="54" max="54" width="10.5703125" bestFit="1" customWidth="1"/>
    <col min="55" max="56" width="15.28515625" bestFit="1" customWidth="1"/>
    <col min="57" max="57" width="16" bestFit="1" customWidth="1"/>
    <col min="58" max="59" width="15.28515625" bestFit="1" customWidth="1"/>
    <col min="60" max="61" width="16" bestFit="1" customWidth="1"/>
    <col min="62" max="62" width="15.28515625" bestFit="1" customWidth="1"/>
    <col min="63" max="67" width="16" bestFit="1" customWidth="1"/>
    <col min="68" max="68" width="15.28515625" bestFit="1" customWidth="1"/>
    <col min="69" max="72" width="16" bestFit="1" customWidth="1"/>
    <col min="73" max="74" width="15.28515625" bestFit="1" customWidth="1"/>
    <col min="75" max="75" width="13.85546875" bestFit="1" customWidth="1"/>
    <col min="76" max="76" width="16" bestFit="1" customWidth="1"/>
    <col min="77" max="78" width="15" bestFit="1" customWidth="1"/>
    <col min="79" max="79" width="16" bestFit="1" customWidth="1"/>
    <col min="80" max="80" width="14.5703125" bestFit="1" customWidth="1"/>
    <col min="81" max="81" width="16" bestFit="1" customWidth="1"/>
    <col min="82" max="82" width="15" bestFit="1" customWidth="1"/>
    <col min="83" max="83" width="16" bestFit="1" customWidth="1"/>
    <col min="84" max="85" width="15.28515625" bestFit="1" customWidth="1"/>
    <col min="86" max="87" width="16" bestFit="1" customWidth="1"/>
    <col min="88" max="89" width="15.28515625" bestFit="1" customWidth="1"/>
    <col min="90" max="90" width="16" bestFit="1" customWidth="1"/>
    <col min="91" max="91" width="15" bestFit="1" customWidth="1"/>
    <col min="92" max="96" width="16" bestFit="1" customWidth="1"/>
    <col min="97" max="97" width="14.28515625" bestFit="1" customWidth="1"/>
    <col min="98" max="99" width="16" bestFit="1" customWidth="1"/>
    <col min="100" max="100" width="14.5703125" bestFit="1" customWidth="1"/>
    <col min="101" max="104" width="16" bestFit="1" customWidth="1"/>
    <col min="105" max="105" width="15" bestFit="1" customWidth="1"/>
    <col min="106" max="106" width="16" bestFit="1" customWidth="1"/>
    <col min="107" max="107" width="15.28515625" bestFit="1" customWidth="1"/>
    <col min="108" max="108" width="16" bestFit="1" customWidth="1"/>
    <col min="109" max="109" width="15" bestFit="1" customWidth="1"/>
    <col min="110" max="110" width="14.5703125" bestFit="1" customWidth="1"/>
    <col min="111" max="111" width="16" bestFit="1" customWidth="1"/>
    <col min="112" max="112" width="15.28515625" bestFit="1" customWidth="1"/>
    <col min="113" max="113" width="16" bestFit="1" customWidth="1"/>
    <col min="114" max="114" width="15.28515625" bestFit="1" customWidth="1"/>
    <col min="115" max="115" width="14" bestFit="1" customWidth="1"/>
    <col min="116" max="117" width="16" bestFit="1" customWidth="1"/>
    <col min="118" max="118" width="13.5703125" bestFit="1" customWidth="1"/>
    <col min="119" max="120" width="16" bestFit="1" customWidth="1"/>
    <col min="121" max="121" width="15.28515625" bestFit="1" customWidth="1"/>
    <col min="122" max="122" width="15" bestFit="1" customWidth="1"/>
    <col min="123" max="123" width="16" bestFit="1" customWidth="1"/>
    <col min="124" max="124" width="14.5703125" bestFit="1" customWidth="1"/>
    <col min="125" max="125" width="15" bestFit="1" customWidth="1"/>
    <col min="126" max="126" width="15.28515625" bestFit="1" customWidth="1"/>
    <col min="127" max="128" width="16" bestFit="1" customWidth="1"/>
    <col min="129" max="129" width="15.28515625" bestFit="1" customWidth="1"/>
    <col min="130" max="130" width="13.85546875" bestFit="1" customWidth="1"/>
    <col min="131" max="132" width="16" bestFit="1" customWidth="1"/>
    <col min="133" max="133" width="11.140625" bestFit="1" customWidth="1"/>
    <col min="134" max="134" width="13.42578125" bestFit="1" customWidth="1"/>
    <col min="135" max="136" width="16" bestFit="1" customWidth="1"/>
    <col min="137" max="137" width="13.85546875" bestFit="1" customWidth="1"/>
    <col min="138" max="138" width="16" bestFit="1" customWidth="1"/>
    <col min="139" max="139" width="14.5703125" bestFit="1" customWidth="1"/>
    <col min="140" max="140" width="16" bestFit="1" customWidth="1"/>
    <col min="141" max="141" width="15" bestFit="1" customWidth="1"/>
    <col min="142" max="142" width="16" bestFit="1" customWidth="1"/>
    <col min="143" max="143" width="14.5703125" bestFit="1" customWidth="1"/>
    <col min="144" max="145" width="16" bestFit="1" customWidth="1"/>
    <col min="146" max="146" width="13.85546875" bestFit="1" customWidth="1"/>
    <col min="147" max="147" width="12.7109375" bestFit="1" customWidth="1"/>
    <col min="148" max="148" width="13.85546875" bestFit="1" customWidth="1"/>
    <col min="149" max="149" width="16" bestFit="1" customWidth="1"/>
    <col min="150" max="150" width="15" bestFit="1" customWidth="1"/>
    <col min="151" max="151" width="16" bestFit="1" customWidth="1"/>
    <col min="152" max="152" width="14.28515625" bestFit="1" customWidth="1"/>
    <col min="153" max="154" width="15" bestFit="1" customWidth="1"/>
    <col min="155" max="155" width="16" bestFit="1" customWidth="1"/>
    <col min="156" max="157" width="15" bestFit="1" customWidth="1"/>
    <col min="158" max="158" width="14.5703125" bestFit="1" customWidth="1"/>
    <col min="159" max="159" width="16" bestFit="1" customWidth="1"/>
    <col min="160" max="160" width="14.5703125" bestFit="1" customWidth="1"/>
    <col min="161" max="161" width="16" bestFit="1" customWidth="1"/>
    <col min="162" max="162" width="15.28515625" bestFit="1" customWidth="1"/>
    <col min="163" max="163" width="14.5703125" bestFit="1" customWidth="1"/>
    <col min="164" max="165" width="15" bestFit="1" customWidth="1"/>
    <col min="166" max="166" width="14.5703125" bestFit="1" customWidth="1"/>
    <col min="167" max="167" width="13.85546875" bestFit="1" customWidth="1"/>
    <col min="168" max="168" width="12.7109375" bestFit="1" customWidth="1"/>
    <col min="169" max="169" width="16" bestFit="1" customWidth="1"/>
    <col min="170" max="170" width="15" bestFit="1" customWidth="1"/>
    <col min="171" max="172" width="15.28515625" bestFit="1" customWidth="1"/>
    <col min="173" max="173" width="16" bestFit="1" customWidth="1"/>
    <col min="174" max="175" width="13.85546875" bestFit="1" customWidth="1"/>
    <col min="176" max="177" width="16" bestFit="1" customWidth="1"/>
    <col min="178" max="178" width="13.85546875" bestFit="1" customWidth="1"/>
    <col min="179" max="181" width="16" bestFit="1" customWidth="1"/>
    <col min="182" max="183" width="15" bestFit="1" customWidth="1"/>
    <col min="184" max="184" width="14" bestFit="1" customWidth="1"/>
    <col min="185" max="185" width="15" bestFit="1" customWidth="1"/>
    <col min="186" max="193" width="16" bestFit="1" customWidth="1"/>
    <col min="194" max="194" width="14.28515625" bestFit="1" customWidth="1"/>
    <col min="195" max="196" width="16" bestFit="1" customWidth="1"/>
    <col min="197" max="197" width="13.85546875" bestFit="1" customWidth="1"/>
    <col min="198" max="198" width="16" bestFit="1" customWidth="1"/>
    <col min="199" max="199" width="15" bestFit="1" customWidth="1"/>
    <col min="200" max="207" width="16" bestFit="1" customWidth="1"/>
    <col min="208" max="208" width="12.5703125" bestFit="1" customWidth="1"/>
    <col min="209" max="209" width="16" bestFit="1" customWidth="1"/>
    <col min="210" max="210" width="12.7109375" bestFit="1" customWidth="1"/>
    <col min="211" max="211" width="16" bestFit="1" customWidth="1"/>
    <col min="212" max="212" width="12.7109375" bestFit="1" customWidth="1"/>
    <col min="213" max="214" width="16" bestFit="1" customWidth="1"/>
    <col min="215" max="215" width="15" bestFit="1" customWidth="1"/>
    <col min="216" max="217" width="16" bestFit="1" customWidth="1"/>
    <col min="218" max="218" width="15" bestFit="1" customWidth="1"/>
    <col min="219" max="219" width="13.42578125" bestFit="1" customWidth="1"/>
    <col min="220" max="220" width="16" bestFit="1" customWidth="1"/>
    <col min="221" max="221" width="13.85546875" bestFit="1" customWidth="1"/>
    <col min="222" max="225" width="16" bestFit="1" customWidth="1"/>
    <col min="226" max="226" width="15" bestFit="1" customWidth="1"/>
    <col min="227" max="230" width="16" bestFit="1" customWidth="1"/>
    <col min="231" max="231" width="15" bestFit="1" customWidth="1"/>
    <col min="232" max="235" width="16" bestFit="1" customWidth="1"/>
    <col min="236" max="236" width="15" bestFit="1" customWidth="1"/>
    <col min="237" max="239" width="16" bestFit="1" customWidth="1"/>
    <col min="240" max="240" width="13.85546875" bestFit="1" customWidth="1"/>
    <col min="241" max="241" width="13.42578125" bestFit="1" customWidth="1"/>
    <col min="242" max="243" width="13.85546875" bestFit="1" customWidth="1"/>
    <col min="244" max="244" width="16" bestFit="1" customWidth="1"/>
    <col min="245" max="246" width="13.85546875" bestFit="1" customWidth="1"/>
    <col min="247" max="247" width="16" bestFit="1" customWidth="1"/>
    <col min="248" max="248" width="15" bestFit="1" customWidth="1"/>
    <col min="249" max="249" width="13.85546875" bestFit="1" customWidth="1"/>
    <col min="250" max="255" width="16" bestFit="1" customWidth="1"/>
    <col min="256" max="257" width="13.85546875" bestFit="1" customWidth="1"/>
    <col min="258" max="259" width="16" bestFit="1" customWidth="1"/>
    <col min="260" max="262" width="15" bestFit="1" customWidth="1"/>
    <col min="263" max="263" width="16" bestFit="1" customWidth="1"/>
    <col min="264" max="264" width="15" bestFit="1" customWidth="1"/>
    <col min="265" max="269" width="16" bestFit="1" customWidth="1"/>
    <col min="270" max="270" width="13.85546875" bestFit="1" customWidth="1"/>
    <col min="271" max="271" width="16" bestFit="1" customWidth="1"/>
    <col min="272" max="272" width="13.85546875" bestFit="1" customWidth="1"/>
    <col min="273" max="274" width="12.7109375" bestFit="1" customWidth="1"/>
    <col min="275" max="276" width="16" bestFit="1" customWidth="1"/>
    <col min="277" max="277" width="15" bestFit="1" customWidth="1"/>
    <col min="278" max="278" width="12.7109375" bestFit="1" customWidth="1"/>
    <col min="279" max="280" width="16" bestFit="1" customWidth="1"/>
    <col min="281" max="283" width="13.85546875" bestFit="1" customWidth="1"/>
    <col min="284" max="284" width="12.7109375" bestFit="1" customWidth="1"/>
    <col min="285" max="285" width="13.85546875" bestFit="1" customWidth="1"/>
    <col min="286" max="286" width="16" bestFit="1" customWidth="1"/>
    <col min="287" max="287" width="13.85546875" bestFit="1" customWidth="1"/>
    <col min="288" max="288" width="16" bestFit="1" customWidth="1"/>
    <col min="290" max="290" width="12.7109375" bestFit="1" customWidth="1"/>
    <col min="291" max="291" width="13.85546875" bestFit="1" customWidth="1"/>
    <col min="292" max="292" width="16" bestFit="1" customWidth="1"/>
    <col min="293" max="293" width="13.42578125" bestFit="1" customWidth="1"/>
    <col min="294" max="294" width="13.85546875" bestFit="1" customWidth="1"/>
    <col min="295" max="295" width="14.85546875" bestFit="1" customWidth="1"/>
    <col min="296" max="296" width="16.85546875" bestFit="1" customWidth="1"/>
    <col min="297" max="298" width="15.85546875" bestFit="1" customWidth="1"/>
    <col min="299" max="302" width="16.85546875" bestFit="1" customWidth="1"/>
    <col min="303" max="303" width="15.85546875" bestFit="1" customWidth="1"/>
    <col min="304" max="304" width="16.85546875" bestFit="1" customWidth="1"/>
    <col min="305" max="306" width="15.85546875" bestFit="1" customWidth="1"/>
    <col min="307" max="313" width="16.85546875" bestFit="1" customWidth="1"/>
    <col min="314" max="314" width="11.28515625" bestFit="1" customWidth="1"/>
  </cols>
  <sheetData>
    <row r="1" spans="1:13" x14ac:dyDescent="0.25">
      <c r="A1" t="s">
        <v>11</v>
      </c>
    </row>
    <row r="2" spans="1:13" x14ac:dyDescent="0.25">
      <c r="C2" t="s">
        <v>12</v>
      </c>
      <c r="F2" t="s">
        <v>88</v>
      </c>
      <c r="I2" t="s">
        <v>95</v>
      </c>
    </row>
    <row r="3" spans="1:13" x14ac:dyDescent="0.25">
      <c r="A3" t="s">
        <v>1</v>
      </c>
      <c r="B3" t="s">
        <v>1</v>
      </c>
      <c r="C3" t="s">
        <v>13</v>
      </c>
      <c r="D3" t="s">
        <v>87</v>
      </c>
      <c r="F3" t="s">
        <v>13</v>
      </c>
      <c r="G3" t="s">
        <v>87</v>
      </c>
      <c r="I3" t="s">
        <v>13</v>
      </c>
      <c r="J3" t="s">
        <v>87</v>
      </c>
    </row>
    <row r="4" spans="1:13" x14ac:dyDescent="0.25">
      <c r="A4" t="s">
        <v>14</v>
      </c>
      <c r="B4" t="s">
        <v>113</v>
      </c>
      <c r="C4" t="str" cm="1">
        <f t="array" ref="C4">_xlfn.XLOOKUP($A4&amp;C$3&amp;$C$2&amp;$A$1,doses_results!$C$2:$C$400&amp;doses_results!$K$2:$K$400&amp;doses_results!$J$2:$J$400&amp;doses_results!$I$2:$I$400,doses_results!$L$2:$L$400,"",0)</f>
        <v>-0.05[-0.51,0.41]</v>
      </c>
      <c r="D4" t="str" cm="1">
        <f t="array" ref="D4">_xlfn.XLOOKUP($A4&amp;D$3&amp;$C$2&amp;$A$1,doses_results!$C$2:$C$400&amp;doses_results!$K$2:$K$400&amp;doses_results!$J$2:$J$400&amp;doses_results!$I$2:$I$400,doses_results!$L$2:$L$400,"",0)</f>
        <v>-0.10[-0.56,0.36]</v>
      </c>
      <c r="E4" t="str" cm="1">
        <f t="array" ref="E4">_xlfn.XLOOKUP($A4&amp;E$3&amp;$C$2&amp;$A$1,doses_results!$C$2:$C$400&amp;doses_results!$K$2:$K$400&amp;doses_results!$J$2:$J$400&amp;doses_results!$I$2:$I$400,doses_results!$L$2:$L$400,"",0)</f>
        <v/>
      </c>
      <c r="F4" t="str" cm="1">
        <f t="array" ref="F4">_xlfn.XLOOKUP($A4&amp;F$3&amp;$F$2&amp;$A$1,doses_results!$C$2:$C$400&amp;doses_results!$K$2:$K$400&amp;doses_results!$J$2:$J$400&amp;doses_results!$I$2:$I$400,doses_results!$L$2:$L$400,"",0)</f>
        <v>-10.05[-23.88,3.78]</v>
      </c>
      <c r="G4" t="str" cm="1">
        <f t="array" ref="G4">_xlfn.XLOOKUP($A4&amp;G$3&amp;$F$2&amp;$A$1,doses_results!$C$2:$C$400&amp;doses_results!$K$2:$K$400&amp;doses_results!$J$2:$J$400&amp;doses_results!$I$2:$I$400,doses_results!$L$2:$L$400,"",0)</f>
        <v>-9.06[-22.82,4.70]</v>
      </c>
      <c r="H4" t="str" cm="1">
        <f t="array" ref="H4">_xlfn.XLOOKUP($A4&amp;H$3&amp;$C$2&amp;$A$1,doses_results!$C$2:$C$400&amp;doses_results!$K$2:$K$400&amp;doses_results!$J$2:$J$400&amp;doses_results!$I$2:$I$400,doses_results!$L$2:$L$400,"",0)</f>
        <v/>
      </c>
      <c r="I4" t="str" cm="1">
        <f t="array" ref="I4">_xlfn.XLOOKUP($A4&amp;I$3&amp;$I$2&amp;$A$1,doses_results!$C$2:$C$400&amp;doses_results!$K$2:$K$400&amp;doses_results!$J$2:$J$400&amp;doses_results!$I$2:$I$400,doses_results!$L$2:$L$400,"",0)</f>
        <v>-7.02[-20.46,6.41]</v>
      </c>
      <c r="J4" t="str" cm="1">
        <f t="array" ref="J4">_xlfn.XLOOKUP($A4&amp;J$3&amp;$I$2&amp;$A$1,doses_results!$C$2:$C$400&amp;doses_results!$K$2:$K$400&amp;doses_results!$J$2:$J$400&amp;doses_results!$I$2:$I$400,doses_results!$L$2:$L$400,"",0)</f>
        <v/>
      </c>
    </row>
    <row r="5" spans="1:13" x14ac:dyDescent="0.25">
      <c r="A5" t="s">
        <v>15</v>
      </c>
      <c r="B5" t="s">
        <v>114</v>
      </c>
      <c r="C5" t="str" cm="1">
        <f t="array" ref="C5">_xlfn.XLOOKUP($A5&amp;C$3&amp;$C$2&amp;$A$1,doses_results!$C$2:$C$400&amp;doses_results!$K$2:$K$400&amp;doses_results!$J$2:$J$400&amp;doses_results!$I$2:$I$400,doses_results!$L$2:$L$400,"",0)</f>
        <v>-0.10[-1.14,0.93]</v>
      </c>
      <c r="D5" t="str" cm="1">
        <f t="array" ref="D5">_xlfn.XLOOKUP($A5&amp;D$3&amp;$C$2&amp;$A$1,doses_results!$C$2:$C$400&amp;doses_results!$K$2:$K$400&amp;doses_results!$J$2:$J$400&amp;doses_results!$I$2:$I$400,doses_results!$L$2:$L$400,"",0)</f>
        <v>0.04[-1.00,1.07]</v>
      </c>
      <c r="E5" t="str" cm="1">
        <f t="array" ref="E5">_xlfn.XLOOKUP($A5&amp;E$3&amp;$C$2&amp;$A$1,doses_results!$C$2:$C$400&amp;doses_results!$K$2:$K$400&amp;doses_results!$J$2:$J$400&amp;doses_results!$I$2:$I$400,doses_results!$L$2:$L$400,"",0)</f>
        <v/>
      </c>
      <c r="F5" t="str" cm="1">
        <f t="array" ref="F5">_xlfn.XLOOKUP($A5&amp;F$3&amp;$F$2&amp;$A$1,doses_results!$C$2:$C$400&amp;doses_results!$K$2:$K$400&amp;doses_results!$J$2:$J$400&amp;doses_results!$I$2:$I$400,doses_results!$L$2:$L$400,"",0)</f>
        <v/>
      </c>
      <c r="G5" t="str" cm="1">
        <f t="array" ref="G5">_xlfn.XLOOKUP($A5&amp;G$3&amp;$F$2&amp;$A$1,doses_results!$C$2:$C$400&amp;doses_results!$K$2:$K$400&amp;doses_results!$J$2:$J$400&amp;doses_results!$I$2:$I$400,doses_results!$L$2:$L$400,"",0)</f>
        <v/>
      </c>
      <c r="H5" t="str" cm="1">
        <f t="array" ref="H5">_xlfn.XLOOKUP($A5&amp;H$3&amp;$C$2&amp;$A$1,doses_results!$C$2:$C$400&amp;doses_results!$K$2:$K$400&amp;doses_results!$J$2:$J$400&amp;doses_results!$I$2:$I$400,doses_results!$L$2:$L$400,"",0)</f>
        <v/>
      </c>
      <c r="I5" t="str" cm="1">
        <f t="array" ref="I5">_xlfn.XLOOKUP($A5&amp;I$3&amp;$I$2&amp;$A$1,doses_results!$C$2:$C$400&amp;doses_results!$K$2:$K$400&amp;doses_results!$J$2:$J$400&amp;doses_results!$I$2:$I$400,doses_results!$L$2:$L$400,"",0)</f>
        <v/>
      </c>
      <c r="J5" t="str" cm="1">
        <f t="array" ref="J5">_xlfn.XLOOKUP($A5&amp;J$3&amp;$I$2&amp;$A$1,doses_results!$C$2:$C$400&amp;doses_results!$K$2:$K$400&amp;doses_results!$J$2:$J$400&amp;doses_results!$I$2:$I$400,doses_results!$L$2:$L$400,"",0)</f>
        <v>0.55[0.25,0.84]</v>
      </c>
    </row>
    <row r="6" spans="1:13" x14ac:dyDescent="0.25">
      <c r="A6" t="s">
        <v>16</v>
      </c>
      <c r="B6" t="s">
        <v>115</v>
      </c>
      <c r="C6" t="str" cm="1">
        <f t="array" ref="C6">_xlfn.XLOOKUP($A6&amp;C$3&amp;$C$2&amp;$A$1,doses_results!$C$2:$C$400&amp;doses_results!$K$2:$K$400&amp;doses_results!$J$2:$J$400&amp;doses_results!$I$2:$I$400,doses_results!$L$2:$L$400,"",0)</f>
        <v>-0.88[-2.15,0.39]</v>
      </c>
      <c r="D6" t="str" cm="1">
        <f t="array" ref="D6">_xlfn.XLOOKUP($A6&amp;D$3&amp;$C$2&amp;$A$1,doses_results!$C$2:$C$400&amp;doses_results!$K$2:$K$400&amp;doses_results!$J$2:$J$400&amp;doses_results!$I$2:$I$400,doses_results!$L$2:$L$400,"",0)</f>
        <v>-0.75[-2.04,0.54]</v>
      </c>
      <c r="E6" t="str" cm="1">
        <f t="array" ref="E6">_xlfn.XLOOKUP($A6&amp;E$3&amp;$C$2&amp;$A$1,doses_results!$C$2:$C$400&amp;doses_results!$K$2:$K$400&amp;doses_results!$J$2:$J$400&amp;doses_results!$I$2:$I$400,doses_results!$L$2:$L$400,"",0)</f>
        <v/>
      </c>
      <c r="F6" t="str" cm="1">
        <f t="array" ref="F6">_xlfn.XLOOKUP($A6&amp;F$3&amp;$F$2&amp;$A$1,doses_results!$C$2:$C$400&amp;doses_results!$K$2:$K$400&amp;doses_results!$J$2:$J$400&amp;doses_results!$I$2:$I$400,doses_results!$L$2:$L$400,"",0)</f>
        <v>-0.24[-0.77,0.29]</v>
      </c>
      <c r="G6" t="str" cm="1">
        <f t="array" ref="G6">_xlfn.XLOOKUP($A6&amp;G$3&amp;$F$2&amp;$A$1,doses_results!$C$2:$C$400&amp;doses_results!$K$2:$K$400&amp;doses_results!$J$2:$J$400&amp;doses_results!$I$2:$I$400,doses_results!$L$2:$L$400,"",0)</f>
        <v>-0.24[-0.78,0.30]</v>
      </c>
      <c r="H6" t="str" cm="1">
        <f t="array" ref="H6">_xlfn.XLOOKUP($A6&amp;H$3&amp;$C$2&amp;$A$1,doses_results!$C$2:$C$400&amp;doses_results!$K$2:$K$400&amp;doses_results!$J$2:$J$400&amp;doses_results!$I$2:$I$400,doses_results!$L$2:$L$400,"",0)</f>
        <v/>
      </c>
      <c r="I6" t="str" cm="1">
        <f t="array" ref="I6">_xlfn.XLOOKUP($A6&amp;I$3&amp;$I$2&amp;$A$1,doses_results!$C$2:$C$400&amp;doses_results!$K$2:$K$400&amp;doses_results!$J$2:$J$400&amp;doses_results!$I$2:$I$400,doses_results!$L$2:$L$400,"",0)</f>
        <v/>
      </c>
      <c r="J6" t="str" cm="1">
        <f t="array" ref="J6">_xlfn.XLOOKUP($A6&amp;J$3&amp;$I$2&amp;$A$1,doses_results!$C$2:$C$400&amp;doses_results!$K$2:$K$400&amp;doses_results!$J$2:$J$400&amp;doses_results!$I$2:$I$400,doses_results!$L$2:$L$400,"",0)</f>
        <v/>
      </c>
    </row>
    <row r="7" spans="1:13" s="6" customFormat="1" x14ac:dyDescent="0.25">
      <c r="A7" s="2" t="s">
        <v>17</v>
      </c>
      <c r="B7" s="2" t="s">
        <v>116</v>
      </c>
      <c r="C7" s="2" t="str" cm="1">
        <f t="array" ref="C7">_xlfn.XLOOKUP($A7&amp;C$3&amp;$C$2&amp;$A$1,doses_results!$C$2:$C$400&amp;doses_results!$K$2:$K$400&amp;doses_results!$J$2:$J$400&amp;doses_results!$I$2:$I$400,doses_results!$L$2:$L$400,"",0)</f>
        <v>-2.63[-2.97,-2.28]</v>
      </c>
      <c r="D7" s="2" t="str" cm="1">
        <f t="array" ref="D7">_xlfn.XLOOKUP($A7&amp;D$3&amp;$C$2&amp;$A$1,doses_results!$C$2:$C$400&amp;doses_results!$K$2:$K$400&amp;doses_results!$J$2:$J$400&amp;doses_results!$I$2:$I$400,doses_results!$L$2:$L$400,"",0)</f>
        <v>-2.62[-2.97,-2.27]</v>
      </c>
      <c r="E7" s="2" t="str" cm="1">
        <f t="array" ref="E7">_xlfn.XLOOKUP($A7&amp;E$3&amp;$C$2&amp;$A$1,doses_results!$C$2:$C$400&amp;doses_results!$K$2:$K$400&amp;doses_results!$J$2:$J$400&amp;doses_results!$I$2:$I$400,doses_results!$L$2:$L$400,"",0)</f>
        <v/>
      </c>
      <c r="F7" s="2" t="str" cm="1">
        <f t="array" ref="F7">_xlfn.XLOOKUP($A7&amp;F$3&amp;$F$2&amp;$A$1,doses_results!$C$2:$C$400&amp;doses_results!$K$2:$K$400&amp;doses_results!$J$2:$J$400&amp;doses_results!$I$2:$I$400,doses_results!$L$2:$L$400,"",0)</f>
        <v>-2.85[-3.15,-2.55]</v>
      </c>
      <c r="G7" s="2" t="str" cm="1">
        <f t="array" ref="G7">_xlfn.XLOOKUP($A7&amp;G$3&amp;$F$2&amp;$A$1,doses_results!$C$2:$C$400&amp;doses_results!$K$2:$K$400&amp;doses_results!$J$2:$J$400&amp;doses_results!$I$2:$I$400,doses_results!$L$2:$L$400,"",0)</f>
        <v>-2.82[-3.12,-2.51]</v>
      </c>
      <c r="H7" s="2" t="str" cm="1">
        <f t="array" ref="H7">_xlfn.XLOOKUP($A7&amp;H$3&amp;$C$2&amp;$A$1,doses_results!$C$2:$C$400&amp;doses_results!$K$2:$K$400&amp;doses_results!$J$2:$J$400&amp;doses_results!$I$2:$I$400,doses_results!$L$2:$L$400,"",0)</f>
        <v/>
      </c>
      <c r="I7" s="2" t="str" cm="1">
        <f t="array" ref="I7">_xlfn.XLOOKUP($A7&amp;I$3&amp;$I$2&amp;$A$1,doses_results!$C$2:$C$400&amp;doses_results!$K$2:$K$400&amp;doses_results!$J$2:$J$400&amp;doses_results!$I$2:$I$400,doses_results!$L$2:$L$400,"",0)</f>
        <v>-2.82[-3.11,-2.52]</v>
      </c>
      <c r="J7" s="2" t="str" cm="1">
        <f t="array" ref="J7">_xlfn.XLOOKUP($A7&amp;J$3&amp;$I$2&amp;$A$1,doses_results!$C$2:$C$400&amp;doses_results!$K$2:$K$400&amp;doses_results!$J$2:$J$400&amp;doses_results!$I$2:$I$400,doses_results!$L$2:$L$400,"",0)</f>
        <v>-2.58[-2.89,-2.26]</v>
      </c>
      <c r="K7" s="2"/>
      <c r="L7" s="2"/>
      <c r="M7" s="2"/>
    </row>
    <row r="8" spans="1:13" x14ac:dyDescent="0.25">
      <c r="A8" t="s">
        <v>18</v>
      </c>
      <c r="B8" t="s">
        <v>118</v>
      </c>
      <c r="C8" t="str" cm="1">
        <f t="array" ref="C8">_xlfn.XLOOKUP($A8&amp;C$3&amp;$C$2&amp;$A$1,doses_results!$C$2:$C$400&amp;doses_results!$K$2:$K$400&amp;doses_results!$J$2:$J$400&amp;doses_results!$I$2:$I$400,doses_results!$L$2:$L$400,"",0)</f>
        <v>-0.26[-0.56,0.04]</v>
      </c>
      <c r="D8" t="str" cm="1">
        <f t="array" ref="D8">_xlfn.XLOOKUP($A8&amp;D$3&amp;$C$2&amp;$A$1,doses_results!$C$2:$C$400&amp;doses_results!$K$2:$K$400&amp;doses_results!$J$2:$J$400&amp;doses_results!$I$2:$I$400,doses_results!$L$2:$L$400,"",0)</f>
        <v>-0.25[-0.55,0.05]</v>
      </c>
      <c r="E8" t="str" cm="1">
        <f t="array" ref="E8">_xlfn.XLOOKUP($A8&amp;E$3&amp;$C$2&amp;$A$1,doses_results!$C$2:$C$400&amp;doses_results!$K$2:$K$400&amp;doses_results!$J$2:$J$400&amp;doses_results!$I$2:$I$400,doses_results!$L$2:$L$400,"",0)</f>
        <v/>
      </c>
      <c r="F8" t="str" cm="1">
        <f t="array" ref="F8">_xlfn.XLOOKUP($A8&amp;F$3&amp;$F$2&amp;$A$1,doses_results!$C$2:$C$400&amp;doses_results!$K$2:$K$400&amp;doses_results!$J$2:$J$400&amp;doses_results!$I$2:$I$400,doses_results!$L$2:$L$400,"",0)</f>
        <v/>
      </c>
      <c r="G8" t="str" cm="1">
        <f t="array" ref="G8">_xlfn.XLOOKUP($A8&amp;G$3&amp;$F$2&amp;$A$1,doses_results!$C$2:$C$400&amp;doses_results!$K$2:$K$400&amp;doses_results!$J$2:$J$400&amp;doses_results!$I$2:$I$400,doses_results!$L$2:$L$400,"",0)</f>
        <v/>
      </c>
      <c r="H8" t="str" cm="1">
        <f t="array" ref="H8">_xlfn.XLOOKUP($A8&amp;H$3&amp;$C$2&amp;$A$1,doses_results!$C$2:$C$400&amp;doses_results!$K$2:$K$400&amp;doses_results!$J$2:$J$400&amp;doses_results!$I$2:$I$400,doses_results!$L$2:$L$400,"",0)</f>
        <v/>
      </c>
      <c r="I8" t="str" cm="1">
        <f t="array" ref="I8">_xlfn.XLOOKUP($A8&amp;I$3&amp;$I$2&amp;$A$1,doses_results!$C$2:$C$400&amp;doses_results!$K$2:$K$400&amp;doses_results!$J$2:$J$400&amp;doses_results!$I$2:$I$400,doses_results!$L$2:$L$400,"",0)</f>
        <v/>
      </c>
      <c r="J8" t="str" cm="1">
        <f t="array" ref="J8">_xlfn.XLOOKUP($A8&amp;J$3&amp;$I$2&amp;$A$1,doses_results!$C$2:$C$400&amp;doses_results!$K$2:$K$400&amp;doses_results!$J$2:$J$400&amp;doses_results!$I$2:$I$400,doses_results!$L$2:$L$400,"",0)</f>
        <v/>
      </c>
    </row>
    <row r="9" spans="1:13" s="6" customFormat="1" x14ac:dyDescent="0.25">
      <c r="A9" s="2" t="s">
        <v>19</v>
      </c>
      <c r="B9" s="2" t="s">
        <v>117</v>
      </c>
      <c r="C9" s="2" t="str" cm="1">
        <f t="array" ref="C9">_xlfn.XLOOKUP($A9&amp;C$3&amp;$C$2&amp;$A$1,doses_results!$C$2:$C$400&amp;doses_results!$K$2:$K$400&amp;doses_results!$J$2:$J$400&amp;doses_results!$I$2:$I$400,doses_results!$L$2:$L$400,"",0)</f>
        <v>-0.46[-0.75,-0.17]</v>
      </c>
      <c r="D9" s="2" t="str" cm="1">
        <f t="array" ref="D9">_xlfn.XLOOKUP($A9&amp;D$3&amp;$C$2&amp;$A$1,doses_results!$C$2:$C$400&amp;doses_results!$K$2:$K$400&amp;doses_results!$J$2:$J$400&amp;doses_results!$I$2:$I$400,doses_results!$L$2:$L$400,"",0)</f>
        <v>-0.45[-0.74,-0.16]</v>
      </c>
      <c r="E9" s="2" t="str" cm="1">
        <f t="array" ref="E9">_xlfn.XLOOKUP($A9&amp;E$3&amp;$C$2&amp;$A$1,doses_results!$C$2:$C$400&amp;doses_results!$K$2:$K$400&amp;doses_results!$J$2:$J$400&amp;doses_results!$I$2:$I$400,doses_results!$L$2:$L$400,"",0)</f>
        <v/>
      </c>
      <c r="F9" s="2" t="str" cm="1">
        <f t="array" ref="F9">_xlfn.XLOOKUP($A9&amp;F$3&amp;$F$2&amp;$A$1,doses_results!$C$2:$C$400&amp;doses_results!$K$2:$K$400&amp;doses_results!$J$2:$J$400&amp;doses_results!$I$2:$I$400,doses_results!$L$2:$L$400,"",0)</f>
        <v>-0.73[-1.00,-0.46]</v>
      </c>
      <c r="G9" s="2" t="str" cm="1">
        <f t="array" ref="G9">_xlfn.XLOOKUP($A9&amp;G$3&amp;$F$2&amp;$A$1,doses_results!$C$2:$C$400&amp;doses_results!$K$2:$K$400&amp;doses_results!$J$2:$J$400&amp;doses_results!$I$2:$I$400,doses_results!$L$2:$L$400,"",0)</f>
        <v>-0.72[-0.99,-0.45]</v>
      </c>
      <c r="H9" s="2" t="str" cm="1">
        <f t="array" ref="H9">_xlfn.XLOOKUP($A9&amp;H$3&amp;$C$2&amp;$A$1,doses_results!$C$2:$C$400&amp;doses_results!$K$2:$K$400&amp;doses_results!$J$2:$J$400&amp;doses_results!$I$2:$I$400,doses_results!$L$2:$L$400,"",0)</f>
        <v/>
      </c>
      <c r="I9" s="2" t="str" cm="1">
        <f t="array" ref="I9">_xlfn.XLOOKUP($A9&amp;I$3&amp;$I$2&amp;$A$1,doses_results!$C$2:$C$400&amp;doses_results!$K$2:$K$400&amp;doses_results!$J$2:$J$400&amp;doses_results!$I$2:$I$400,doses_results!$L$2:$L$400,"",0)</f>
        <v>-0.66[-0.92,-0.41]</v>
      </c>
      <c r="J9" s="2" t="str" cm="1">
        <f t="array" ref="J9">_xlfn.XLOOKUP($A9&amp;J$3&amp;$I$2&amp;$A$1,doses_results!$C$2:$C$400&amp;doses_results!$K$2:$K$400&amp;doses_results!$J$2:$J$400&amp;doses_results!$I$2:$I$400,doses_results!$L$2:$L$400,"",0)</f>
        <v>-0.65[-0.89,-0.40]</v>
      </c>
      <c r="K9" s="2"/>
      <c r="L9" s="2"/>
      <c r="M9" s="2"/>
    </row>
    <row r="10" spans="1:13" s="6" customFormat="1" x14ac:dyDescent="0.25">
      <c r="A10" s="2" t="s">
        <v>20</v>
      </c>
      <c r="B10" s="2" t="s">
        <v>137</v>
      </c>
      <c r="C10" s="2" t="str" cm="1">
        <f t="array" ref="C10">_xlfn.XLOOKUP($A10&amp;C$3&amp;$C$2&amp;$A$1,doses_results!$C$2:$C$400&amp;doses_results!$K$2:$K$400&amp;doses_results!$J$2:$J$400&amp;doses_results!$I$2:$I$400,doses_results!$L$2:$L$400,"",0)</f>
        <v>-0.80[-1.23,-0.38]</v>
      </c>
      <c r="D10" s="2" t="str" cm="1">
        <f t="array" ref="D10">_xlfn.XLOOKUP($A10&amp;D$3&amp;$C$2&amp;$A$1,doses_results!$C$2:$C$400&amp;doses_results!$K$2:$K$400&amp;doses_results!$J$2:$J$400&amp;doses_results!$I$2:$I$400,doses_results!$L$2:$L$400,"",0)</f>
        <v>-0.81[-1.24,-0.39]</v>
      </c>
      <c r="E10" s="2" t="str" cm="1">
        <f t="array" ref="E10">_xlfn.XLOOKUP($A10&amp;E$3&amp;$C$2&amp;$A$1,doses_results!$C$2:$C$400&amp;doses_results!$K$2:$K$400&amp;doses_results!$J$2:$J$400&amp;doses_results!$I$2:$I$400,doses_results!$L$2:$L$400,"",0)</f>
        <v/>
      </c>
      <c r="F10" s="2" t="str" cm="1">
        <f t="array" ref="F10">_xlfn.XLOOKUP($A10&amp;F$3&amp;$F$2&amp;$A$1,doses_results!$C$2:$C$400&amp;doses_results!$K$2:$K$400&amp;doses_results!$J$2:$J$400&amp;doses_results!$I$2:$I$400,doses_results!$L$2:$L$400,"",0)</f>
        <v>-1.33[-1.67,-0.99]</v>
      </c>
      <c r="G10" s="2" t="str" cm="1">
        <f t="array" ref="G10">_xlfn.XLOOKUP($A10&amp;G$3&amp;$F$2&amp;$A$1,doses_results!$C$2:$C$400&amp;doses_results!$K$2:$K$400&amp;doses_results!$J$2:$J$400&amp;doses_results!$I$2:$I$400,doses_results!$L$2:$L$400,"",0)</f>
        <v>-1.30[-1.64,-0.95]</v>
      </c>
      <c r="H10" s="2" t="str" cm="1">
        <f t="array" ref="H10">_xlfn.XLOOKUP($A10&amp;H$3&amp;$C$2&amp;$A$1,doses_results!$C$2:$C$400&amp;doses_results!$K$2:$K$400&amp;doses_results!$J$2:$J$400&amp;doses_results!$I$2:$I$400,doses_results!$L$2:$L$400,"",0)</f>
        <v/>
      </c>
      <c r="I10" s="2" t="str" cm="1">
        <f t="array" ref="I10">_xlfn.XLOOKUP($A10&amp;I$3&amp;$I$2&amp;$A$1,doses_results!$C$2:$C$400&amp;doses_results!$K$2:$K$400&amp;doses_results!$J$2:$J$400&amp;doses_results!$I$2:$I$400,doses_results!$L$2:$L$400,"",0)</f>
        <v>-1.33[-1.68,-0.99]</v>
      </c>
      <c r="J10" s="2" t="str" cm="1">
        <f t="array" ref="J10">_xlfn.XLOOKUP($A10&amp;J$3&amp;$I$2&amp;$A$1,doses_results!$C$2:$C$400&amp;doses_results!$K$2:$K$400&amp;doses_results!$J$2:$J$400&amp;doses_results!$I$2:$I$400,doses_results!$L$2:$L$400,"",0)</f>
        <v>-1.12[-1.44,-0.81]</v>
      </c>
      <c r="K10" s="2"/>
      <c r="L10" s="2"/>
      <c r="M10" s="2"/>
    </row>
    <row r="11" spans="1:13" x14ac:dyDescent="0.25">
      <c r="A11" t="s">
        <v>21</v>
      </c>
      <c r="B11" t="s">
        <v>119</v>
      </c>
      <c r="C11" t="str" cm="1">
        <f t="array" ref="C11">_xlfn.XLOOKUP($A11&amp;C$3&amp;$C$2&amp;$A$1,doses_results!$C$2:$C$400&amp;doses_results!$K$2:$K$400&amp;doses_results!$J$2:$J$400&amp;doses_results!$I$2:$I$400,doses_results!$L$2:$L$400,"",0)</f>
        <v>-0.01[-0.41,0.39]</v>
      </c>
      <c r="D11" t="str" cm="1">
        <f t="array" ref="D11">_xlfn.XLOOKUP($A11&amp;D$3&amp;$C$2&amp;$A$1,doses_results!$C$2:$C$400&amp;doses_results!$K$2:$K$400&amp;doses_results!$J$2:$J$400&amp;doses_results!$I$2:$I$400,doses_results!$L$2:$L$400,"",0)</f>
        <v>-0.03[-0.43,0.38]</v>
      </c>
      <c r="E11" t="str" cm="1">
        <f t="array" ref="E11">_xlfn.XLOOKUP($A11&amp;E$3&amp;$C$2&amp;$A$1,doses_results!$C$2:$C$400&amp;doses_results!$K$2:$K$400&amp;doses_results!$J$2:$J$400&amp;doses_results!$I$2:$I$400,doses_results!$L$2:$L$400,"",0)</f>
        <v/>
      </c>
      <c r="F11" t="str" cm="1">
        <f t="array" ref="F11">_xlfn.XLOOKUP($A11&amp;F$3&amp;$F$2&amp;$A$1,doses_results!$C$2:$C$400&amp;doses_results!$K$2:$K$400&amp;doses_results!$J$2:$J$400&amp;doses_results!$I$2:$I$400,doses_results!$L$2:$L$400,"",0)</f>
        <v/>
      </c>
      <c r="G11" t="str" cm="1">
        <f t="array" ref="G11">_xlfn.XLOOKUP($A11&amp;G$3&amp;$F$2&amp;$A$1,doses_results!$C$2:$C$400&amp;doses_results!$K$2:$K$400&amp;doses_results!$J$2:$J$400&amp;doses_results!$I$2:$I$400,doses_results!$L$2:$L$400,"",0)</f>
        <v/>
      </c>
      <c r="H11" t="str" cm="1">
        <f t="array" ref="H11">_xlfn.XLOOKUP($A11&amp;H$3&amp;$C$2&amp;$A$1,doses_results!$C$2:$C$400&amp;doses_results!$K$2:$K$400&amp;doses_results!$J$2:$J$400&amp;doses_results!$I$2:$I$400,doses_results!$L$2:$L$400,"",0)</f>
        <v/>
      </c>
      <c r="I11" t="str" cm="1">
        <f t="array" ref="I11">_xlfn.XLOOKUP($A11&amp;I$3&amp;$I$2&amp;$A$1,doses_results!$C$2:$C$400&amp;doses_results!$K$2:$K$400&amp;doses_results!$J$2:$J$400&amp;doses_results!$I$2:$I$400,doses_results!$L$2:$L$400,"",0)</f>
        <v/>
      </c>
      <c r="J11" t="str" cm="1">
        <f t="array" ref="J11">_xlfn.XLOOKUP($A11&amp;J$3&amp;$I$2&amp;$A$1,doses_results!$C$2:$C$400&amp;doses_results!$K$2:$K$400&amp;doses_results!$J$2:$J$400&amp;doses_results!$I$2:$I$400,doses_results!$L$2:$L$400,"",0)</f>
        <v/>
      </c>
    </row>
    <row r="12" spans="1:13" x14ac:dyDescent="0.25">
      <c r="A12" t="s">
        <v>22</v>
      </c>
      <c r="B12" t="s">
        <v>120</v>
      </c>
      <c r="C12" t="str" cm="1">
        <f t="array" ref="C12">_xlfn.XLOOKUP($A12&amp;C$3&amp;$C$2&amp;$A$1,doses_results!$C$2:$C$400&amp;doses_results!$K$2:$K$400&amp;doses_results!$J$2:$J$400&amp;doses_results!$I$2:$I$400,doses_results!$L$2:$L$400,"",0)</f>
        <v>0.25[-1.19,1.69]</v>
      </c>
      <c r="D12" t="str" cm="1">
        <f t="array" ref="D12">_xlfn.XLOOKUP($A12&amp;D$3&amp;$C$2&amp;$A$1,doses_results!$C$2:$C$400&amp;doses_results!$K$2:$K$400&amp;doses_results!$J$2:$J$400&amp;doses_results!$I$2:$I$400,doses_results!$L$2:$L$400,"",0)</f>
        <v>0.26[-1.18,1.70]</v>
      </c>
      <c r="E12" t="str" cm="1">
        <f t="array" ref="E12">_xlfn.XLOOKUP($A12&amp;E$3&amp;$C$2&amp;$A$1,doses_results!$C$2:$C$400&amp;doses_results!$K$2:$K$400&amp;doses_results!$J$2:$J$400&amp;doses_results!$I$2:$I$400,doses_results!$L$2:$L$400,"",0)</f>
        <v/>
      </c>
      <c r="F12" t="str" cm="1">
        <f t="array" ref="F12">_xlfn.XLOOKUP($A12&amp;F$3&amp;$F$2&amp;$A$1,doses_results!$C$2:$C$400&amp;doses_results!$K$2:$K$400&amp;doses_results!$J$2:$J$400&amp;doses_results!$I$2:$I$400,doses_results!$L$2:$L$400,"",0)</f>
        <v>-0.11[-1.15,0.93]</v>
      </c>
      <c r="G12" t="str" cm="1">
        <f t="array" ref="G12">_xlfn.XLOOKUP($A12&amp;G$3&amp;$F$2&amp;$A$1,doses_results!$C$2:$C$400&amp;doses_results!$K$2:$K$400&amp;doses_results!$J$2:$J$400&amp;doses_results!$I$2:$I$400,doses_results!$L$2:$L$400,"",0)</f>
        <v>-0.05[-1.09,0.99]</v>
      </c>
      <c r="H12" t="str" cm="1">
        <f t="array" ref="H12">_xlfn.XLOOKUP($A12&amp;H$3&amp;$C$2&amp;$A$1,doses_results!$C$2:$C$400&amp;doses_results!$K$2:$K$400&amp;doses_results!$J$2:$J$400&amp;doses_results!$I$2:$I$400,doses_results!$L$2:$L$400,"",0)</f>
        <v/>
      </c>
      <c r="I12" t="str" cm="1">
        <f t="array" ref="I12">_xlfn.XLOOKUP($A12&amp;I$3&amp;$I$2&amp;$A$1,doses_results!$C$2:$C$400&amp;doses_results!$K$2:$K$400&amp;doses_results!$J$2:$J$400&amp;doses_results!$I$2:$I$400,doses_results!$L$2:$L$400,"",0)</f>
        <v/>
      </c>
      <c r="J12" t="str" cm="1">
        <f t="array" ref="J12">_xlfn.XLOOKUP($A12&amp;J$3&amp;$I$2&amp;$A$1,doses_results!$C$2:$C$400&amp;doses_results!$K$2:$K$400&amp;doses_results!$J$2:$J$400&amp;doses_results!$I$2:$I$400,doses_results!$L$2:$L$400,"",0)</f>
        <v/>
      </c>
    </row>
    <row r="13" spans="1:13" x14ac:dyDescent="0.25">
      <c r="A13" t="s">
        <v>23</v>
      </c>
      <c r="B13" t="s">
        <v>121</v>
      </c>
      <c r="C13" t="str" cm="1">
        <f t="array" ref="C13">_xlfn.XLOOKUP($A13&amp;C$3&amp;$C$2&amp;$A$1,doses_results!$C$2:$C$400&amp;doses_results!$K$2:$K$400&amp;doses_results!$J$2:$J$400&amp;doses_results!$I$2:$I$400,doses_results!$L$2:$L$400,"",0)</f>
        <v>0.63[-0.27,1.53]</v>
      </c>
      <c r="D13" t="str" cm="1">
        <f t="array" ref="D13">_xlfn.XLOOKUP($A13&amp;D$3&amp;$C$2&amp;$A$1,doses_results!$C$2:$C$400&amp;doses_results!$K$2:$K$400&amp;doses_results!$J$2:$J$400&amp;doses_results!$I$2:$I$400,doses_results!$L$2:$L$400,"",0)</f>
        <v>0.67[-0.24,1.59]</v>
      </c>
      <c r="E13" t="str" cm="1">
        <f t="array" ref="E13">_xlfn.XLOOKUP($A13&amp;E$3&amp;$C$2&amp;$A$1,doses_results!$C$2:$C$400&amp;doses_results!$K$2:$K$400&amp;doses_results!$J$2:$J$400&amp;doses_results!$I$2:$I$400,doses_results!$L$2:$L$400,"",0)</f>
        <v/>
      </c>
      <c r="F13" t="str" cm="1">
        <f t="array" ref="F13">_xlfn.XLOOKUP($A13&amp;F$3&amp;$F$2&amp;$A$1,doses_results!$C$2:$C$400&amp;doses_results!$K$2:$K$400&amp;doses_results!$J$2:$J$400&amp;doses_results!$I$2:$I$400,doses_results!$L$2:$L$400,"",0)</f>
        <v>-1.13[-2.22,-0.04]</v>
      </c>
      <c r="G13" t="str" cm="1">
        <f t="array" ref="G13">_xlfn.XLOOKUP($A13&amp;G$3&amp;$F$2&amp;$A$1,doses_results!$C$2:$C$400&amp;doses_results!$K$2:$K$400&amp;doses_results!$J$2:$J$400&amp;doses_results!$I$2:$I$400,doses_results!$L$2:$L$400,"",0)</f>
        <v>-1.12[-2.22,-0.02]</v>
      </c>
      <c r="H13" t="str" cm="1">
        <f t="array" ref="H13">_xlfn.XLOOKUP($A13&amp;H$3&amp;$C$2&amp;$A$1,doses_results!$C$2:$C$400&amp;doses_results!$K$2:$K$400&amp;doses_results!$J$2:$J$400&amp;doses_results!$I$2:$I$400,doses_results!$L$2:$L$400,"",0)</f>
        <v/>
      </c>
      <c r="I13" t="str" cm="1">
        <f t="array" ref="I13">_xlfn.XLOOKUP($A13&amp;I$3&amp;$I$2&amp;$A$1,doses_results!$C$2:$C$400&amp;doses_results!$K$2:$K$400&amp;doses_results!$J$2:$J$400&amp;doses_results!$I$2:$I$400,doses_results!$L$2:$L$400,"",0)</f>
        <v>-1.50[-2.28,-0.72]</v>
      </c>
      <c r="J13" t="str" cm="1">
        <f t="array" ref="J13">_xlfn.XLOOKUP($A13&amp;J$3&amp;$I$2&amp;$A$1,doses_results!$C$2:$C$400&amp;doses_results!$K$2:$K$400&amp;doses_results!$J$2:$J$400&amp;doses_results!$I$2:$I$400,doses_results!$L$2:$L$400,"",0)</f>
        <v/>
      </c>
    </row>
    <row r="14" spans="1:13" x14ac:dyDescent="0.25">
      <c r="A14" t="s">
        <v>24</v>
      </c>
      <c r="B14" t="s">
        <v>122</v>
      </c>
      <c r="C14" t="str" cm="1">
        <f t="array" ref="C14">_xlfn.XLOOKUP($A14&amp;C$3&amp;$C$2&amp;$A$1,doses_results!$C$2:$C$400&amp;doses_results!$K$2:$K$400&amp;doses_results!$J$2:$J$400&amp;doses_results!$I$2:$I$400,doses_results!$L$2:$L$400,"",0)</f>
        <v>-1.29[-1.93,-0.65]</v>
      </c>
      <c r="D14" t="str" cm="1">
        <f t="array" ref="D14">_xlfn.XLOOKUP($A14&amp;D$3&amp;$C$2&amp;$A$1,doses_results!$C$2:$C$400&amp;doses_results!$K$2:$K$400&amp;doses_results!$J$2:$J$400&amp;doses_results!$I$2:$I$400,doses_results!$L$2:$L$400,"",0)</f>
        <v>-1.27[-1.93,-0.60]</v>
      </c>
      <c r="E14" t="str" cm="1">
        <f t="array" ref="E14">_xlfn.XLOOKUP($A14&amp;E$3&amp;$C$2&amp;$A$1,doses_results!$C$2:$C$400&amp;doses_results!$K$2:$K$400&amp;doses_results!$J$2:$J$400&amp;doses_results!$I$2:$I$400,doses_results!$L$2:$L$400,"",0)</f>
        <v/>
      </c>
      <c r="F14" t="str" cm="1">
        <f t="array" ref="F14">_xlfn.XLOOKUP($A14&amp;F$3&amp;$F$2&amp;$A$1,doses_results!$C$2:$C$400&amp;doses_results!$K$2:$K$400&amp;doses_results!$J$2:$J$400&amp;doses_results!$I$2:$I$400,doses_results!$L$2:$L$400,"",0)</f>
        <v>-0.30[-1.10,0.51]</v>
      </c>
      <c r="G14" t="str" cm="1">
        <f t="array" ref="G14">_xlfn.XLOOKUP($A14&amp;G$3&amp;$F$2&amp;$A$1,doses_results!$C$2:$C$400&amp;doses_results!$K$2:$K$400&amp;doses_results!$J$2:$J$400&amp;doses_results!$I$2:$I$400,doses_results!$L$2:$L$400,"",0)</f>
        <v>-0.36[-1.20,0.47]</v>
      </c>
      <c r="H14" t="str" cm="1">
        <f t="array" ref="H14">_xlfn.XLOOKUP($A14&amp;H$3&amp;$C$2&amp;$A$1,doses_results!$C$2:$C$400&amp;doses_results!$K$2:$K$400&amp;doses_results!$J$2:$J$400&amp;doses_results!$I$2:$I$400,doses_results!$L$2:$L$400,"",0)</f>
        <v/>
      </c>
      <c r="I14" t="str" cm="1">
        <f t="array" ref="I14">_xlfn.XLOOKUP($A14&amp;I$3&amp;$I$2&amp;$A$1,doses_results!$C$2:$C$400&amp;doses_results!$K$2:$K$400&amp;doses_results!$J$2:$J$400&amp;doses_results!$I$2:$I$400,doses_results!$L$2:$L$400,"",0)</f>
        <v/>
      </c>
      <c r="J14" t="str" cm="1">
        <f t="array" ref="J14">_xlfn.XLOOKUP($A14&amp;J$3&amp;$I$2&amp;$A$1,doses_results!$C$2:$C$400&amp;doses_results!$K$2:$K$400&amp;doses_results!$J$2:$J$400&amp;doses_results!$I$2:$I$400,doses_results!$L$2:$L$400,"",0)</f>
        <v/>
      </c>
    </row>
    <row r="15" spans="1:13" x14ac:dyDescent="0.25">
      <c r="A15" t="s">
        <v>25</v>
      </c>
      <c r="B15" t="s">
        <v>123</v>
      </c>
      <c r="C15" t="str" cm="1">
        <f t="array" ref="C15">_xlfn.XLOOKUP($A15&amp;C$3&amp;$C$2&amp;$A$1,doses_results!$C$2:$C$400&amp;doses_results!$K$2:$K$400&amp;doses_results!$J$2:$J$400&amp;doses_results!$I$2:$I$400,doses_results!$L$2:$L$400,"",0)</f>
        <v>-0.28[-0.60,0.05]</v>
      </c>
      <c r="D15" t="str" cm="1">
        <f t="array" ref="D15">_xlfn.XLOOKUP($A15&amp;D$3&amp;$C$2&amp;$A$1,doses_results!$C$2:$C$400&amp;doses_results!$K$2:$K$400&amp;doses_results!$J$2:$J$400&amp;doses_results!$I$2:$I$400,doses_results!$L$2:$L$400,"",0)</f>
        <v>-0.26[-0.59,0.07]</v>
      </c>
      <c r="E15" t="str" cm="1">
        <f t="array" ref="E15">_xlfn.XLOOKUP($A15&amp;E$3&amp;$C$2&amp;$A$1,doses_results!$C$2:$C$400&amp;doses_results!$K$2:$K$400&amp;doses_results!$J$2:$J$400&amp;doses_results!$I$2:$I$400,doses_results!$L$2:$L$400,"",0)</f>
        <v/>
      </c>
      <c r="F15" t="str" cm="1">
        <f t="array" ref="F15">_xlfn.XLOOKUP($A15&amp;F$3&amp;$F$2&amp;$A$1,doses_results!$C$2:$C$400&amp;doses_results!$K$2:$K$400&amp;doses_results!$J$2:$J$400&amp;doses_results!$I$2:$I$400,doses_results!$L$2:$L$400,"",0)</f>
        <v/>
      </c>
      <c r="G15" t="str" cm="1">
        <f t="array" ref="G15">_xlfn.XLOOKUP($A15&amp;G$3&amp;$F$2&amp;$A$1,doses_results!$C$2:$C$400&amp;doses_results!$K$2:$K$400&amp;doses_results!$J$2:$J$400&amp;doses_results!$I$2:$I$400,doses_results!$L$2:$L$400,"",0)</f>
        <v/>
      </c>
      <c r="H15" t="str" cm="1">
        <f t="array" ref="H15">_xlfn.XLOOKUP($A15&amp;H$3&amp;$C$2&amp;$A$1,doses_results!$C$2:$C$400&amp;doses_results!$K$2:$K$400&amp;doses_results!$J$2:$J$400&amp;doses_results!$I$2:$I$400,doses_results!$L$2:$L$400,"",0)</f>
        <v/>
      </c>
      <c r="I15" t="str" cm="1">
        <f t="array" ref="I15">_xlfn.XLOOKUP($A15&amp;I$3&amp;$I$2&amp;$A$1,doses_results!$C$2:$C$400&amp;doses_results!$K$2:$K$400&amp;doses_results!$J$2:$J$400&amp;doses_results!$I$2:$I$400,doses_results!$L$2:$L$400,"",0)</f>
        <v/>
      </c>
      <c r="J15" t="str" cm="1">
        <f t="array" ref="J15">_xlfn.XLOOKUP($A15&amp;J$3&amp;$I$2&amp;$A$1,doses_results!$C$2:$C$400&amp;doses_results!$K$2:$K$400&amp;doses_results!$J$2:$J$400&amp;doses_results!$I$2:$I$400,doses_results!$L$2:$L$400,"",0)</f>
        <v/>
      </c>
    </row>
    <row r="16" spans="1:13" x14ac:dyDescent="0.25">
      <c r="A16" t="s">
        <v>26</v>
      </c>
      <c r="B16" t="s">
        <v>119</v>
      </c>
      <c r="C16" t="str" cm="1">
        <f t="array" ref="C16">_xlfn.XLOOKUP($A16&amp;C$3&amp;$C$2&amp;$A$1,doses_results!$C$2:$C$400&amp;doses_results!$K$2:$K$400&amp;doses_results!$J$2:$J$400&amp;doses_results!$I$2:$I$400,doses_results!$L$2:$L$400,"",0)</f>
        <v>-0.34[-0.62,-0.06]</v>
      </c>
      <c r="D16" t="str" cm="1">
        <f t="array" ref="D16">_xlfn.XLOOKUP($A16&amp;D$3&amp;$C$2&amp;$A$1,doses_results!$C$2:$C$400&amp;doses_results!$K$2:$K$400&amp;doses_results!$J$2:$J$400&amp;doses_results!$I$2:$I$400,doses_results!$L$2:$L$400,"",0)</f>
        <v>-0.29[-0.75,0.18]</v>
      </c>
      <c r="E16" t="str" cm="1">
        <f t="array" ref="E16">_xlfn.XLOOKUP($A16&amp;E$3&amp;$C$2&amp;$A$1,doses_results!$C$2:$C$400&amp;doses_results!$K$2:$K$400&amp;doses_results!$J$2:$J$400&amp;doses_results!$I$2:$I$400,doses_results!$L$2:$L$400,"",0)</f>
        <v/>
      </c>
      <c r="F16" t="str" cm="1">
        <f t="array" ref="F16">_xlfn.XLOOKUP($A16&amp;F$3&amp;$F$2&amp;$A$1,doses_results!$C$2:$C$400&amp;doses_results!$K$2:$K$400&amp;doses_results!$J$2:$J$400&amp;doses_results!$I$2:$I$400,doses_results!$L$2:$L$400,"",0)</f>
        <v/>
      </c>
      <c r="G16" t="str" cm="1">
        <f t="array" ref="G16">_xlfn.XLOOKUP($A16&amp;G$3&amp;$F$2&amp;$A$1,doses_results!$C$2:$C$400&amp;doses_results!$K$2:$K$400&amp;doses_results!$J$2:$J$400&amp;doses_results!$I$2:$I$400,doses_results!$L$2:$L$400,"",0)</f>
        <v/>
      </c>
      <c r="H16" t="str" cm="1">
        <f t="array" ref="H16">_xlfn.XLOOKUP($A16&amp;H$3&amp;$C$2&amp;$A$1,doses_results!$C$2:$C$400&amp;doses_results!$K$2:$K$400&amp;doses_results!$J$2:$J$400&amp;doses_results!$I$2:$I$400,doses_results!$L$2:$L$400,"",0)</f>
        <v/>
      </c>
      <c r="I16" t="str" cm="1">
        <f t="array" ref="I16">_xlfn.XLOOKUP($A16&amp;I$3&amp;$I$2&amp;$A$1,doses_results!$C$2:$C$400&amp;doses_results!$K$2:$K$400&amp;doses_results!$J$2:$J$400&amp;doses_results!$I$2:$I$400,doses_results!$L$2:$L$400,"",0)</f>
        <v/>
      </c>
      <c r="J16" t="str" cm="1">
        <f t="array" ref="J16">_xlfn.XLOOKUP($A16&amp;J$3&amp;$I$2&amp;$A$1,doses_results!$C$2:$C$400&amp;doses_results!$K$2:$K$400&amp;doses_results!$J$2:$J$400&amp;doses_results!$I$2:$I$400,doses_results!$L$2:$L$400,"",0)</f>
        <v/>
      </c>
    </row>
    <row r="17" spans="1:10" x14ac:dyDescent="0.25">
      <c r="A17" t="s">
        <v>27</v>
      </c>
      <c r="B17" t="s">
        <v>124</v>
      </c>
      <c r="C17" t="str" cm="1">
        <f t="array" ref="C17">_xlfn.XLOOKUP($A17&amp;C$3&amp;$C$2&amp;$A$1,doses_results!$C$2:$C$400&amp;doses_results!$K$2:$K$400&amp;doses_results!$J$2:$J$400&amp;doses_results!$I$2:$I$400,doses_results!$L$2:$L$400,"",0)</f>
        <v>-0.39[-0.70,-0.09]</v>
      </c>
      <c r="D17" t="str" cm="1">
        <f t="array" ref="D17">_xlfn.XLOOKUP($A17&amp;D$3&amp;$C$2&amp;$A$1,doses_results!$C$2:$C$400&amp;doses_results!$K$2:$K$400&amp;doses_results!$J$2:$J$400&amp;doses_results!$I$2:$I$400,doses_results!$L$2:$L$400,"",0)</f>
        <v>-0.38[-0.68,-0.07]</v>
      </c>
      <c r="E17" t="str" cm="1">
        <f t="array" ref="E17">_xlfn.XLOOKUP($A17&amp;E$3&amp;$C$2&amp;$A$1,doses_results!$C$2:$C$400&amp;doses_results!$K$2:$K$400&amp;doses_results!$J$2:$J$400&amp;doses_results!$I$2:$I$400,doses_results!$L$2:$L$400,"",0)</f>
        <v/>
      </c>
      <c r="F17" t="str" cm="1">
        <f t="array" ref="F17">_xlfn.XLOOKUP($A17&amp;F$3&amp;$F$2&amp;$A$1,doses_results!$C$2:$C$400&amp;doses_results!$K$2:$K$400&amp;doses_results!$J$2:$J$400&amp;doses_results!$I$2:$I$400,doses_results!$L$2:$L$400,"",0)</f>
        <v>-0.26[-0.55,0.03]</v>
      </c>
      <c r="G17" t="str" cm="1">
        <f t="array" ref="G17">_xlfn.XLOOKUP($A17&amp;G$3&amp;$F$2&amp;$A$1,doses_results!$C$2:$C$400&amp;doses_results!$K$2:$K$400&amp;doses_results!$J$2:$J$400&amp;doses_results!$I$2:$I$400,doses_results!$L$2:$L$400,"",0)</f>
        <v>-0.26[-0.55,0.02]</v>
      </c>
      <c r="H17" t="str" cm="1">
        <f t="array" ref="H17">_xlfn.XLOOKUP($A17&amp;H$3&amp;$C$2&amp;$A$1,doses_results!$C$2:$C$400&amp;doses_results!$K$2:$K$400&amp;doses_results!$J$2:$J$400&amp;doses_results!$I$2:$I$400,doses_results!$L$2:$L$400,"",0)</f>
        <v/>
      </c>
      <c r="I17" t="str" cm="1">
        <f t="array" ref="I17">_xlfn.XLOOKUP($A17&amp;I$3&amp;$I$2&amp;$A$1,doses_results!$C$2:$C$400&amp;doses_results!$K$2:$K$400&amp;doses_results!$J$2:$J$400&amp;doses_results!$I$2:$I$400,doses_results!$L$2:$L$400,"",0)</f>
        <v>-0.83[-1.53,-0.12]</v>
      </c>
      <c r="J17" t="str" cm="1">
        <f t="array" ref="J17">_xlfn.XLOOKUP($A17&amp;J$3&amp;$I$2&amp;$A$1,doses_results!$C$2:$C$400&amp;doses_results!$K$2:$K$400&amp;doses_results!$J$2:$J$400&amp;doses_results!$I$2:$I$400,doses_results!$L$2:$L$400,"",0)</f>
        <v>-2.18[-3.71,-0.65]</v>
      </c>
    </row>
    <row r="18" spans="1:10" x14ac:dyDescent="0.25">
      <c r="A18" t="s">
        <v>28</v>
      </c>
      <c r="B18" t="s">
        <v>125</v>
      </c>
      <c r="C18" t="str" cm="1">
        <f t="array" ref="C18">_xlfn.XLOOKUP($A18&amp;C$3&amp;$C$2&amp;$A$1,doses_results!$C$2:$C$400&amp;doses_results!$K$2:$K$400&amp;doses_results!$J$2:$J$400&amp;doses_results!$I$2:$I$400,doses_results!$L$2:$L$400,"",0)</f>
        <v>-0.22[-0.50,0.06]</v>
      </c>
      <c r="D18" t="str" cm="1">
        <f t="array" ref="D18">_xlfn.XLOOKUP($A18&amp;D$3&amp;$C$2&amp;$A$1,doses_results!$C$2:$C$400&amp;doses_results!$K$2:$K$400&amp;doses_results!$J$2:$J$400&amp;doses_results!$I$2:$I$400,doses_results!$L$2:$L$400,"",0)</f>
        <v>-0.25[-0.53,0.03]</v>
      </c>
      <c r="E18" t="str" cm="1">
        <f t="array" ref="E18">_xlfn.XLOOKUP($A18&amp;E$3&amp;$C$2&amp;$A$1,doses_results!$C$2:$C$400&amp;doses_results!$K$2:$K$400&amp;doses_results!$J$2:$J$400&amp;doses_results!$I$2:$I$400,doses_results!$L$2:$L$400,"",0)</f>
        <v/>
      </c>
      <c r="F18" t="str" cm="1">
        <f t="array" ref="F18">_xlfn.XLOOKUP($A18&amp;F$3&amp;$F$2&amp;$A$1,doses_results!$C$2:$C$400&amp;doses_results!$K$2:$K$400&amp;doses_results!$J$2:$J$400&amp;doses_results!$I$2:$I$400,doses_results!$L$2:$L$400,"",0)</f>
        <v/>
      </c>
      <c r="G18" t="str" cm="1">
        <f t="array" ref="G18">_xlfn.XLOOKUP($A18&amp;G$3&amp;$F$2&amp;$A$1,doses_results!$C$2:$C$400&amp;doses_results!$K$2:$K$400&amp;doses_results!$J$2:$J$400&amp;doses_results!$I$2:$I$400,doses_results!$L$2:$L$400,"",0)</f>
        <v/>
      </c>
      <c r="H18" t="str" cm="1">
        <f t="array" ref="H18">_xlfn.XLOOKUP($A18&amp;H$3&amp;$C$2&amp;$A$1,doses_results!$C$2:$C$400&amp;doses_results!$K$2:$K$400&amp;doses_results!$J$2:$J$400&amp;doses_results!$I$2:$I$400,doses_results!$L$2:$L$400,"",0)</f>
        <v/>
      </c>
      <c r="I18" t="str" cm="1">
        <f t="array" ref="I18">_xlfn.XLOOKUP($A18&amp;I$3&amp;$I$2&amp;$A$1,doses_results!$C$2:$C$400&amp;doses_results!$K$2:$K$400&amp;doses_results!$J$2:$J$400&amp;doses_results!$I$2:$I$400,doses_results!$L$2:$L$400,"",0)</f>
        <v/>
      </c>
      <c r="J18" t="str" cm="1">
        <f t="array" ref="J18">_xlfn.XLOOKUP($A18&amp;J$3&amp;$I$2&amp;$A$1,doses_results!$C$2:$C$400&amp;doses_results!$K$2:$K$400&amp;doses_results!$J$2:$J$400&amp;doses_results!$I$2:$I$400,doses_results!$L$2:$L$400,"",0)</f>
        <v>-0.34[-0.61,-0.07]</v>
      </c>
    </row>
    <row r="19" spans="1:10" x14ac:dyDescent="0.25">
      <c r="A19" s="8" t="s">
        <v>29</v>
      </c>
      <c r="B19" s="8" t="s">
        <v>126</v>
      </c>
      <c r="C19" s="8" t="str" cm="1">
        <f t="array" ref="C19">_xlfn.XLOOKUP($A19&amp;C$3&amp;$C$2&amp;$A$1,doses_results!$C$2:$C$400&amp;doses_results!$K$2:$K$400&amp;doses_results!$J$2:$J$400&amp;doses_results!$I$2:$I$400,doses_results!$L$2:$L$400,"",0)</f>
        <v>-0.67[-1.04,-0.29]</v>
      </c>
      <c r="D19" s="8" t="str" cm="1">
        <f t="array" ref="D19">_xlfn.XLOOKUP($A19&amp;D$3&amp;$C$2&amp;$A$1,doses_results!$C$2:$C$400&amp;doses_results!$K$2:$K$400&amp;doses_results!$J$2:$J$400&amp;doses_results!$I$2:$I$400,doses_results!$L$2:$L$400,"",0)</f>
        <v>-0.55[-0.94,-0.16]</v>
      </c>
      <c r="E19" s="8" t="str" cm="1">
        <f t="array" ref="E19">_xlfn.XLOOKUP($A19&amp;E$3&amp;$C$2&amp;$A$1,doses_results!$C$2:$C$400&amp;doses_results!$K$2:$K$400&amp;doses_results!$J$2:$J$400&amp;doses_results!$I$2:$I$400,doses_results!$L$2:$L$400,"",0)</f>
        <v/>
      </c>
      <c r="F19" s="8" t="str" cm="1">
        <f t="array" ref="F19">_xlfn.XLOOKUP($A19&amp;F$3&amp;$F$2&amp;$A$1,doses_results!$C$2:$C$400&amp;doses_results!$K$2:$K$400&amp;doses_results!$J$2:$J$400&amp;doses_results!$I$2:$I$400,doses_results!$L$2:$L$400,"",0)</f>
        <v>-0.42[-0.74,-0.11]</v>
      </c>
      <c r="G19" s="8" t="str" cm="1">
        <f t="array" ref="G19">_xlfn.XLOOKUP($A19&amp;G$3&amp;$F$2&amp;$A$1,doses_results!$C$2:$C$400&amp;doses_results!$K$2:$K$400&amp;doses_results!$J$2:$J$400&amp;doses_results!$I$2:$I$400,doses_results!$L$2:$L$400,"",0)</f>
        <v>-0.36[-0.71,-0.02]</v>
      </c>
      <c r="H19" s="8" t="str" cm="1">
        <f t="array" ref="H19">_xlfn.XLOOKUP($A19&amp;H$3&amp;$C$2&amp;$A$1,doses_results!$C$2:$C$400&amp;doses_results!$K$2:$K$400&amp;doses_results!$J$2:$J$400&amp;doses_results!$I$2:$I$400,doses_results!$L$2:$L$400,"",0)</f>
        <v/>
      </c>
      <c r="I19" s="8" t="str" cm="1">
        <f t="array" ref="I19">_xlfn.XLOOKUP($A19&amp;I$3&amp;$I$2&amp;$A$1,doses_results!$C$2:$C$400&amp;doses_results!$K$2:$K$400&amp;doses_results!$J$2:$J$400&amp;doses_results!$I$2:$I$400,doses_results!$L$2:$L$400,"",0)</f>
        <v>-0.64[-1.06,-0.23]</v>
      </c>
      <c r="J19" s="8" t="str" cm="1">
        <f t="array" ref="J19">_xlfn.XLOOKUP($A19&amp;J$3&amp;$I$2&amp;$A$1,doses_results!$C$2:$C$400&amp;doses_results!$K$2:$K$400&amp;doses_results!$J$2:$J$400&amp;doses_results!$I$2:$I$400,doses_results!$L$2:$L$400,"",0)</f>
        <v/>
      </c>
    </row>
    <row r="20" spans="1:10" x14ac:dyDescent="0.25">
      <c r="A20" s="8" t="s">
        <v>30</v>
      </c>
      <c r="B20" s="8" t="s">
        <v>127</v>
      </c>
      <c r="C20" t="str" cm="1">
        <f t="array" ref="C20">_xlfn.XLOOKUP($A20&amp;C$3&amp;$C$2&amp;$A$1,doses_results!$C$2:$C$400&amp;doses_results!$K$2:$K$400&amp;doses_results!$J$2:$J$400&amp;doses_results!$I$2:$I$400,doses_results!$L$2:$L$400,"",0)</f>
        <v>-1.39[-3.08,0.30]</v>
      </c>
      <c r="D20" t="str" cm="1">
        <f t="array" ref="D20">_xlfn.XLOOKUP($A20&amp;D$3&amp;$C$2&amp;$A$1,doses_results!$C$2:$C$400&amp;doses_results!$K$2:$K$400&amp;doses_results!$J$2:$J$400&amp;doses_results!$I$2:$I$400,doses_results!$L$2:$L$400,"",0)</f>
        <v>-1.55[-3.25,0.14]</v>
      </c>
      <c r="E20" t="str" cm="1">
        <f t="array" ref="E20">_xlfn.XLOOKUP($A20&amp;E$3&amp;$C$2&amp;$A$1,doses_results!$C$2:$C$400&amp;doses_results!$K$2:$K$400&amp;doses_results!$J$2:$J$400&amp;doses_results!$I$2:$I$400,doses_results!$L$2:$L$400,"",0)</f>
        <v/>
      </c>
      <c r="F20" t="str" cm="1">
        <f t="array" ref="F20">_xlfn.XLOOKUP($A20&amp;F$3&amp;$F$2&amp;$A$1,doses_results!$C$2:$C$400&amp;doses_results!$K$2:$K$400&amp;doses_results!$J$2:$J$400&amp;doses_results!$I$2:$I$400,doses_results!$L$2:$L$400,"",0)</f>
        <v>-0.93[-2.01,0.14]</v>
      </c>
      <c r="G20" t="str" cm="1">
        <f t="array" ref="G20">_xlfn.XLOOKUP($A20&amp;G$3&amp;$F$2&amp;$A$1,doses_results!$C$2:$C$400&amp;doses_results!$K$2:$K$400&amp;doses_results!$J$2:$J$400&amp;doses_results!$I$2:$I$400,doses_results!$L$2:$L$400,"",0)</f>
        <v>-1.00[-2.08,0.08]</v>
      </c>
      <c r="H20" t="str" cm="1">
        <f t="array" ref="H20">_xlfn.XLOOKUP($A20&amp;H$3&amp;$C$2&amp;$A$1,doses_results!$C$2:$C$400&amp;doses_results!$K$2:$K$400&amp;doses_results!$J$2:$J$400&amp;doses_results!$I$2:$I$400,doses_results!$L$2:$L$400,"",0)</f>
        <v/>
      </c>
      <c r="I20" t="str" cm="1">
        <f t="array" ref="I20">_xlfn.XLOOKUP($A20&amp;I$3&amp;$I$2&amp;$A$1,doses_results!$C$2:$C$400&amp;doses_results!$K$2:$K$400&amp;doses_results!$J$2:$J$400&amp;doses_results!$I$2:$I$400,doses_results!$L$2:$L$400,"",0)</f>
        <v>-1.11[-1.67,-0.54]</v>
      </c>
      <c r="J20" t="str" cm="1">
        <f t="array" ref="J20">_xlfn.XLOOKUP($A20&amp;J$3&amp;$I$2&amp;$A$1,doses_results!$C$2:$C$400&amp;doses_results!$K$2:$K$400&amp;doses_results!$J$2:$J$400&amp;doses_results!$I$2:$I$400,doses_results!$L$2:$L$400,"",0)</f>
        <v>-0.28[-0.98,0.43]</v>
      </c>
    </row>
    <row r="21" spans="1:10" x14ac:dyDescent="0.25">
      <c r="A21" t="s">
        <v>31</v>
      </c>
      <c r="B21" t="s">
        <v>128</v>
      </c>
      <c r="C21" t="str" cm="1">
        <f t="array" ref="C21">_xlfn.XLOOKUP($A21&amp;C$3&amp;$C$2&amp;$A$1,doses_results!$C$2:$C$400&amp;doses_results!$K$2:$K$400&amp;doses_results!$J$2:$J$400&amp;doses_results!$I$2:$I$400,doses_results!$L$2:$L$400,"",0)</f>
        <v>1.35[-0.30,3.00]</v>
      </c>
      <c r="D21" t="str" cm="1">
        <f t="array" ref="D21">_xlfn.XLOOKUP($A21&amp;D$3&amp;$C$2&amp;$A$1,doses_results!$C$2:$C$400&amp;doses_results!$K$2:$K$400&amp;doses_results!$J$2:$J$400&amp;doses_results!$I$2:$I$400,doses_results!$L$2:$L$400,"",0)</f>
        <v>1.43[-0.22,3.08]</v>
      </c>
      <c r="E21" t="str" cm="1">
        <f t="array" ref="E21">_xlfn.XLOOKUP($A21&amp;E$3&amp;$C$2&amp;$A$1,doses_results!$C$2:$C$400&amp;doses_results!$K$2:$K$400&amp;doses_results!$J$2:$J$400&amp;doses_results!$I$2:$I$400,doses_results!$L$2:$L$400,"",0)</f>
        <v/>
      </c>
      <c r="F21" t="str" cm="1">
        <f t="array" ref="F21">_xlfn.XLOOKUP($A21&amp;F$3&amp;$F$2&amp;$A$1,doses_results!$C$2:$C$400&amp;doses_results!$K$2:$K$400&amp;doses_results!$J$2:$J$400&amp;doses_results!$I$2:$I$400,doses_results!$L$2:$L$400,"",0)</f>
        <v/>
      </c>
      <c r="G21" t="str" cm="1">
        <f t="array" ref="G21">_xlfn.XLOOKUP($A21&amp;G$3&amp;$F$2&amp;$A$1,doses_results!$C$2:$C$400&amp;doses_results!$K$2:$K$400&amp;doses_results!$J$2:$J$400&amp;doses_results!$I$2:$I$400,doses_results!$L$2:$L$400,"",0)</f>
        <v/>
      </c>
      <c r="H21" t="str" cm="1">
        <f t="array" ref="H21">_xlfn.XLOOKUP($A21&amp;H$3&amp;$C$2&amp;$A$1,doses_results!$C$2:$C$400&amp;doses_results!$K$2:$K$400&amp;doses_results!$J$2:$J$400&amp;doses_results!$I$2:$I$400,doses_results!$L$2:$L$400,"",0)</f>
        <v/>
      </c>
      <c r="I21" t="str" cm="1">
        <f t="array" ref="I21">_xlfn.XLOOKUP($A21&amp;I$3&amp;$I$2&amp;$A$1,doses_results!$C$2:$C$400&amp;doses_results!$K$2:$K$400&amp;doses_results!$J$2:$J$400&amp;doses_results!$I$2:$I$400,doses_results!$L$2:$L$400,"",0)</f>
        <v/>
      </c>
      <c r="J21" t="str" cm="1">
        <f t="array" ref="J21">_xlfn.XLOOKUP($A21&amp;J$3&amp;$I$2&amp;$A$1,doses_results!$C$2:$C$400&amp;doses_results!$K$2:$K$400&amp;doses_results!$J$2:$J$400&amp;doses_results!$I$2:$I$400,doses_results!$L$2:$L$400,"",0)</f>
        <v/>
      </c>
    </row>
    <row r="22" spans="1:10" x14ac:dyDescent="0.25">
      <c r="A22" t="s">
        <v>32</v>
      </c>
      <c r="B22" t="s">
        <v>129</v>
      </c>
      <c r="C22" t="str" cm="1">
        <f t="array" ref="C22">_xlfn.XLOOKUP($A22&amp;C$3&amp;$C$2&amp;$A$1,doses_results!$C$2:$C$400&amp;doses_results!$K$2:$K$400&amp;doses_results!$J$2:$J$400&amp;doses_results!$I$2:$I$400,doses_results!$L$2:$L$400,"",0)</f>
        <v>-0.64[-1.19,-0.10]</v>
      </c>
      <c r="D22" t="str" cm="1">
        <f t="array" ref="D22">_xlfn.XLOOKUP($A22&amp;D$3&amp;$C$2&amp;$A$1,doses_results!$C$2:$C$400&amp;doses_results!$K$2:$K$400&amp;doses_results!$J$2:$J$400&amp;doses_results!$I$2:$I$400,doses_results!$L$2:$L$400,"",0)</f>
        <v>-0.63[-1.18,-0.07]</v>
      </c>
      <c r="E22" t="str" cm="1">
        <f t="array" ref="E22">_xlfn.XLOOKUP($A22&amp;E$3&amp;$C$2&amp;$A$1,doses_results!$C$2:$C$400&amp;doses_results!$K$2:$K$400&amp;doses_results!$J$2:$J$400&amp;doses_results!$I$2:$I$400,doses_results!$L$2:$L$400,"",0)</f>
        <v/>
      </c>
      <c r="F22" t="str" cm="1">
        <f t="array" ref="F22">_xlfn.XLOOKUP($A22&amp;F$3&amp;$F$2&amp;$A$1,doses_results!$C$2:$C$400&amp;doses_results!$K$2:$K$400&amp;doses_results!$J$2:$J$400&amp;doses_results!$I$2:$I$400,doses_results!$L$2:$L$400,"",0)</f>
        <v/>
      </c>
      <c r="G22" t="str" cm="1">
        <f t="array" ref="G22">_xlfn.XLOOKUP($A22&amp;G$3&amp;$F$2&amp;$A$1,doses_results!$C$2:$C$400&amp;doses_results!$K$2:$K$400&amp;doses_results!$J$2:$J$400&amp;doses_results!$I$2:$I$400,doses_results!$L$2:$L$400,"",0)</f>
        <v/>
      </c>
      <c r="H22" t="str" cm="1">
        <f t="array" ref="H22">_xlfn.XLOOKUP($A22&amp;H$3&amp;$C$2&amp;$A$1,doses_results!$C$2:$C$400&amp;doses_results!$K$2:$K$400&amp;doses_results!$J$2:$J$400&amp;doses_results!$I$2:$I$400,doses_results!$L$2:$L$400,"",0)</f>
        <v/>
      </c>
      <c r="I22" t="str" cm="1">
        <f t="array" ref="I22">_xlfn.XLOOKUP($A22&amp;I$3&amp;$I$2&amp;$A$1,doses_results!$C$2:$C$400&amp;doses_results!$K$2:$K$400&amp;doses_results!$J$2:$J$400&amp;doses_results!$I$2:$I$400,doses_results!$L$2:$L$400,"",0)</f>
        <v/>
      </c>
      <c r="J22" t="str" cm="1">
        <f t="array" ref="J22">_xlfn.XLOOKUP($A22&amp;J$3&amp;$I$2&amp;$A$1,doses_results!$C$2:$C$400&amp;doses_results!$K$2:$K$400&amp;doses_results!$J$2:$J$400&amp;doses_results!$I$2:$I$400,doses_results!$L$2:$L$400,"",0)</f>
        <v>-0.19[-0.68,0.31]</v>
      </c>
    </row>
    <row r="23" spans="1:10" x14ac:dyDescent="0.25">
      <c r="A23" t="s">
        <v>33</v>
      </c>
      <c r="B23" t="s">
        <v>130</v>
      </c>
      <c r="C23" t="str" cm="1">
        <f t="array" ref="C23">_xlfn.XLOOKUP($A23&amp;C$3&amp;$C$2&amp;$A$1,doses_results!$C$2:$C$400&amp;doses_results!$K$2:$K$400&amp;doses_results!$J$2:$J$400&amp;doses_results!$I$2:$I$400,doses_results!$L$2:$L$400,"",0)</f>
        <v>-0.37[-0.98,0.25]</v>
      </c>
      <c r="D23" t="str" cm="1">
        <f t="array" ref="D23">_xlfn.XLOOKUP($A23&amp;D$3&amp;$C$2&amp;$A$1,doses_results!$C$2:$C$400&amp;doses_results!$K$2:$K$400&amp;doses_results!$J$2:$J$400&amp;doses_results!$I$2:$I$400,doses_results!$L$2:$L$400,"",0)</f>
        <v>-0.33[-0.95,0.29]</v>
      </c>
      <c r="E23" t="str" cm="1">
        <f t="array" ref="E23">_xlfn.XLOOKUP($A23&amp;E$3&amp;$C$2&amp;$A$1,doses_results!$C$2:$C$400&amp;doses_results!$K$2:$K$400&amp;doses_results!$J$2:$J$400&amp;doses_results!$I$2:$I$400,doses_results!$L$2:$L$400,"",0)</f>
        <v/>
      </c>
      <c r="F23" t="str" cm="1">
        <f t="array" ref="F23">_xlfn.XLOOKUP($A23&amp;F$3&amp;$F$2&amp;$A$1,doses_results!$C$2:$C$400&amp;doses_results!$K$2:$K$400&amp;doses_results!$J$2:$J$400&amp;doses_results!$I$2:$I$400,doses_results!$L$2:$L$400,"",0)</f>
        <v/>
      </c>
      <c r="G23" t="str" cm="1">
        <f t="array" ref="G23">_xlfn.XLOOKUP($A23&amp;G$3&amp;$F$2&amp;$A$1,doses_results!$C$2:$C$400&amp;doses_results!$K$2:$K$400&amp;doses_results!$J$2:$J$400&amp;doses_results!$I$2:$I$400,doses_results!$L$2:$L$400,"",0)</f>
        <v/>
      </c>
      <c r="H23" t="str" cm="1">
        <f t="array" ref="H23">_xlfn.XLOOKUP($A23&amp;H$3&amp;$C$2&amp;$A$1,doses_results!$C$2:$C$400&amp;doses_results!$K$2:$K$400&amp;doses_results!$J$2:$J$400&amp;doses_results!$I$2:$I$400,doses_results!$L$2:$L$400,"",0)</f>
        <v/>
      </c>
      <c r="I23" t="str" cm="1">
        <f t="array" ref="I23">_xlfn.XLOOKUP($A23&amp;I$3&amp;$I$2&amp;$A$1,doses_results!$C$2:$C$400&amp;doses_results!$K$2:$K$400&amp;doses_results!$J$2:$J$400&amp;doses_results!$I$2:$I$400,doses_results!$L$2:$L$400,"",0)</f>
        <v/>
      </c>
      <c r="J23" t="str" cm="1">
        <f t="array" ref="J23">_xlfn.XLOOKUP($A23&amp;J$3&amp;$I$2&amp;$A$1,doses_results!$C$2:$C$400&amp;doses_results!$K$2:$K$400&amp;doses_results!$J$2:$J$400&amp;doses_results!$I$2:$I$400,doses_results!$L$2:$L$400,"",0)</f>
        <v/>
      </c>
    </row>
    <row r="24" spans="1:10" x14ac:dyDescent="0.25">
      <c r="A24" s="8" t="s">
        <v>34</v>
      </c>
      <c r="B24" s="8" t="s">
        <v>131</v>
      </c>
      <c r="C24" t="str" cm="1">
        <f t="array" ref="C24">_xlfn.XLOOKUP($A24&amp;C$3&amp;$C$2&amp;$A$1,doses_results!$C$2:$C$400&amp;doses_results!$K$2:$K$400&amp;doses_results!$J$2:$J$400&amp;doses_results!$I$2:$I$400,doses_results!$L$2:$L$400,"",0)</f>
        <v>-0.30[-0.67,0.06]</v>
      </c>
      <c r="D24" t="str" cm="1">
        <f t="array" ref="D24">_xlfn.XLOOKUP($A24&amp;D$3&amp;$C$2&amp;$A$1,doses_results!$C$2:$C$400&amp;doses_results!$K$2:$K$400&amp;doses_results!$J$2:$J$400&amp;doses_results!$I$2:$I$400,doses_results!$L$2:$L$400,"",0)</f>
        <v>-0.34[-0.71,0.04]</v>
      </c>
      <c r="E24" t="str" cm="1">
        <f t="array" ref="E24">_xlfn.XLOOKUP($A24&amp;E$3&amp;$C$2&amp;$A$1,doses_results!$C$2:$C$400&amp;doses_results!$K$2:$K$400&amp;doses_results!$J$2:$J$400&amp;doses_results!$I$2:$I$400,doses_results!$L$2:$L$400,"",0)</f>
        <v/>
      </c>
      <c r="F24" t="str" cm="1">
        <f t="array" ref="F24">_xlfn.XLOOKUP($A24&amp;F$3&amp;$F$2&amp;$A$1,doses_results!$C$2:$C$400&amp;doses_results!$K$2:$K$400&amp;doses_results!$J$2:$J$400&amp;doses_results!$I$2:$I$400,doses_results!$L$2:$L$400,"",0)</f>
        <v>-0.30[-0.63,0.03]</v>
      </c>
      <c r="G24" t="str" cm="1">
        <f t="array" ref="G24">_xlfn.XLOOKUP($A24&amp;G$3&amp;$F$2&amp;$A$1,doses_results!$C$2:$C$400&amp;doses_results!$K$2:$K$400&amp;doses_results!$J$2:$J$400&amp;doses_results!$I$2:$I$400,doses_results!$L$2:$L$400,"",0)</f>
        <v>-0.30[-0.64,0.04]</v>
      </c>
      <c r="H24" t="str" cm="1">
        <f t="array" ref="H24">_xlfn.XLOOKUP($A24&amp;H$3&amp;$C$2&amp;$A$1,doses_results!$C$2:$C$400&amp;doses_results!$K$2:$K$400&amp;doses_results!$J$2:$J$400&amp;doses_results!$I$2:$I$400,doses_results!$L$2:$L$400,"",0)</f>
        <v/>
      </c>
      <c r="I24" t="str" cm="1">
        <f t="array" ref="I24">_xlfn.XLOOKUP($A24&amp;I$3&amp;$I$2&amp;$A$1,doses_results!$C$2:$C$400&amp;doses_results!$K$2:$K$400&amp;doses_results!$J$2:$J$400&amp;doses_results!$I$2:$I$400,doses_results!$L$2:$L$400,"",0)</f>
        <v>-0.27[-0.62,0.07]</v>
      </c>
      <c r="J24" t="str" cm="1">
        <f t="array" ref="J24">_xlfn.XLOOKUP($A24&amp;J$3&amp;$I$2&amp;$A$1,doses_results!$C$2:$C$400&amp;doses_results!$K$2:$K$400&amp;doses_results!$J$2:$J$400&amp;doses_results!$I$2:$I$400,doses_results!$L$2:$L$400,"",0)</f>
        <v>-0.40[-0.74,-0.06]</v>
      </c>
    </row>
    <row r="25" spans="1:10" x14ac:dyDescent="0.25">
      <c r="A25" t="s">
        <v>35</v>
      </c>
      <c r="B25" t="s">
        <v>132</v>
      </c>
      <c r="C25" t="str" cm="1">
        <f t="array" ref="C25">_xlfn.XLOOKUP($A25&amp;C$3&amp;$C$2&amp;$A$1,doses_results!$C$2:$C$400&amp;doses_results!$K$2:$K$400&amp;doses_results!$J$2:$J$400&amp;doses_results!$I$2:$I$400,doses_results!$L$2:$L$400,"",0)</f>
        <v>-0.16[-0.53,0.20]</v>
      </c>
      <c r="D25" t="str" cm="1">
        <f t="array" ref="D25">_xlfn.XLOOKUP($A25&amp;D$3&amp;$C$2&amp;$A$1,doses_results!$C$2:$C$400&amp;doses_results!$K$2:$K$400&amp;doses_results!$J$2:$J$400&amp;doses_results!$I$2:$I$400,doses_results!$L$2:$L$400,"",0)</f>
        <v>-0.16[-0.53,0.21]</v>
      </c>
      <c r="E25" t="str" cm="1">
        <f t="array" ref="E25">_xlfn.XLOOKUP($A25&amp;E$3&amp;$C$2&amp;$A$1,doses_results!$C$2:$C$400&amp;doses_results!$K$2:$K$400&amp;doses_results!$J$2:$J$400&amp;doses_results!$I$2:$I$400,doses_results!$L$2:$L$400,"",0)</f>
        <v/>
      </c>
      <c r="F25" t="str" cm="1">
        <f t="array" ref="F25">_xlfn.XLOOKUP($A25&amp;F$3&amp;$F$2&amp;$A$1,doses_results!$C$2:$C$400&amp;doses_results!$K$2:$K$400&amp;doses_results!$J$2:$J$400&amp;doses_results!$I$2:$I$400,doses_results!$L$2:$L$400,"",0)</f>
        <v/>
      </c>
      <c r="G25" t="str" cm="1">
        <f t="array" ref="G25">_xlfn.XLOOKUP($A25&amp;G$3&amp;$F$2&amp;$A$1,doses_results!$C$2:$C$400&amp;doses_results!$K$2:$K$400&amp;doses_results!$J$2:$J$400&amp;doses_results!$I$2:$I$400,doses_results!$L$2:$L$400,"",0)</f>
        <v/>
      </c>
      <c r="H25" t="str" cm="1">
        <f t="array" ref="H25">_xlfn.XLOOKUP($A25&amp;H$3&amp;$C$2&amp;$A$1,doses_results!$C$2:$C$400&amp;doses_results!$K$2:$K$400&amp;doses_results!$J$2:$J$400&amp;doses_results!$I$2:$I$400,doses_results!$L$2:$L$400,"",0)</f>
        <v/>
      </c>
      <c r="I25" t="str" cm="1">
        <f t="array" ref="I25">_xlfn.XLOOKUP($A25&amp;I$3&amp;$I$2&amp;$A$1,doses_results!$C$2:$C$400&amp;doses_results!$K$2:$K$400&amp;doses_results!$J$2:$J$400&amp;doses_results!$I$2:$I$400,doses_results!$L$2:$L$400,"",0)</f>
        <v/>
      </c>
      <c r="J25" t="str" cm="1">
        <f t="array" ref="J25">_xlfn.XLOOKUP($A25&amp;J$3&amp;$I$2&amp;$A$1,doses_results!$C$2:$C$400&amp;doses_results!$K$2:$K$400&amp;doses_results!$J$2:$J$400&amp;doses_results!$I$2:$I$400,doses_results!$L$2:$L$400,"",0)</f>
        <v/>
      </c>
    </row>
    <row r="26" spans="1:10" s="8" customFormat="1" x14ac:dyDescent="0.25">
      <c r="A26" s="2" t="s">
        <v>36</v>
      </c>
      <c r="B26" s="2" t="s">
        <v>133</v>
      </c>
      <c r="C26" s="2" t="str" cm="1">
        <f t="array" ref="C26">_xlfn.XLOOKUP($A26&amp;C$3&amp;$C$2&amp;$A$1,doses_results!$C$2:$C$400&amp;doses_results!$K$2:$K$400&amp;doses_results!$J$2:$J$400&amp;doses_results!$I$2:$I$400,doses_results!$L$2:$L$400,"",0)</f>
        <v>-0.48[-0.81,-0.15]</v>
      </c>
      <c r="D26" s="2" t="str" cm="1">
        <f t="array" ref="D26">_xlfn.XLOOKUP($A26&amp;D$3&amp;$C$2&amp;$A$1,doses_results!$C$2:$C$400&amp;doses_results!$K$2:$K$400&amp;doses_results!$J$2:$J$400&amp;doses_results!$I$2:$I$400,doses_results!$L$2:$L$400,"",0)</f>
        <v>-0.45[-0.79,-0.11]</v>
      </c>
      <c r="E26" s="2" t="str" cm="1">
        <f t="array" ref="E26">_xlfn.XLOOKUP($A26&amp;E$3&amp;$C$2&amp;$A$1,doses_results!$C$2:$C$400&amp;doses_results!$K$2:$K$400&amp;doses_results!$J$2:$J$400&amp;doses_results!$I$2:$I$400,doses_results!$L$2:$L$400,"",0)</f>
        <v/>
      </c>
      <c r="F26" s="2" t="str" cm="1">
        <f t="array" ref="F26">_xlfn.XLOOKUP($A26&amp;F$3&amp;$F$2&amp;$A$1,doses_results!$C$2:$C$400&amp;doses_results!$K$2:$K$400&amp;doses_results!$J$2:$J$400&amp;doses_results!$I$2:$I$400,doses_results!$L$2:$L$400,"",0)</f>
        <v>-0.46[-0.72,-0.20]</v>
      </c>
      <c r="G26" s="2" t="str" cm="1">
        <f t="array" ref="G26">_xlfn.XLOOKUP($A26&amp;G$3&amp;$F$2&amp;$A$1,doses_results!$C$2:$C$400&amp;doses_results!$K$2:$K$400&amp;doses_results!$J$2:$J$400&amp;doses_results!$I$2:$I$400,doses_results!$L$2:$L$400,"",0)</f>
        <v>-0.47[-0.74,-0.20]</v>
      </c>
      <c r="H26" s="2" t="str" cm="1">
        <f t="array" ref="H26">_xlfn.XLOOKUP($A26&amp;H$3&amp;$C$2&amp;$A$1,doses_results!$C$2:$C$400&amp;doses_results!$K$2:$K$400&amp;doses_results!$J$2:$J$400&amp;doses_results!$I$2:$I$400,doses_results!$L$2:$L$400,"",0)</f>
        <v/>
      </c>
      <c r="I26" s="2" t="str" cm="1">
        <f t="array" ref="I26">_xlfn.XLOOKUP($A26&amp;I$3&amp;$I$2&amp;$A$1,doses_results!$C$2:$C$400&amp;doses_results!$K$2:$K$400&amp;doses_results!$J$2:$J$400&amp;doses_results!$I$2:$I$400,doses_results!$L$2:$L$400,"",0)</f>
        <v>-0.49[-0.71,-0.27]</v>
      </c>
      <c r="J26" s="2" t="str" cm="1">
        <f t="array" ref="J26">_xlfn.XLOOKUP($A26&amp;J$3&amp;$I$2&amp;$A$1,doses_results!$C$2:$C$400&amp;doses_results!$K$2:$K$400&amp;doses_results!$J$2:$J$400&amp;doses_results!$I$2:$I$400,doses_results!$L$2:$L$400,"",0)</f>
        <v>-0.39[-0.63,-0.15]</v>
      </c>
    </row>
    <row r="27" spans="1:10" x14ac:dyDescent="0.25">
      <c r="A27" s="7" t="s">
        <v>89</v>
      </c>
      <c r="B27" s="7" t="s">
        <v>134</v>
      </c>
      <c r="C27" s="7" t="str" cm="1">
        <f t="array" ref="C27">_xlfn.XLOOKUP($A27&amp;C$3&amp;$C$2&amp;$A$1,doses_results!$C$2:$C$400&amp;doses_results!$K$2:$K$400&amp;doses_results!$J$2:$J$400&amp;doses_results!$I$2:$I$400,doses_results!$L$2:$L$400,"",0)</f>
        <v/>
      </c>
      <c r="D27" s="7" t="str" cm="1">
        <f t="array" ref="D27">_xlfn.XLOOKUP($A27&amp;D$3&amp;$C$2&amp;$A$1,doses_results!$C$2:$C$400&amp;doses_results!$K$2:$K$400&amp;doses_results!$J$2:$J$400&amp;doses_results!$I$2:$I$400,doses_results!$L$2:$L$400,"",0)</f>
        <v/>
      </c>
      <c r="E27" s="7" t="str" cm="1">
        <f t="array" ref="E27">_xlfn.XLOOKUP($A27&amp;E$3&amp;$C$2&amp;$A$1,doses_results!$C$2:$C$400&amp;doses_results!$K$2:$K$400&amp;doses_results!$J$2:$J$400&amp;doses_results!$I$2:$I$400,doses_results!$L$2:$L$400,"",0)</f>
        <v/>
      </c>
      <c r="F27" s="7" t="str" cm="1">
        <f t="array" ref="F27">_xlfn.XLOOKUP($A27&amp;F$3&amp;$F$2&amp;$A$1,doses_results!$C$2:$C$400&amp;doses_results!$K$2:$K$400&amp;doses_results!$J$2:$J$400&amp;doses_results!$I$2:$I$400,doses_results!$L$2:$L$400,"",0)</f>
        <v>2.72[1.43,4.01]</v>
      </c>
      <c r="G27" s="7" t="str" cm="1">
        <f t="array" ref="G27">_xlfn.XLOOKUP($A27&amp;G$3&amp;$F$2&amp;$A$1,doses_results!$C$2:$C$400&amp;doses_results!$K$2:$K$400&amp;doses_results!$J$2:$J$400&amp;doses_results!$I$2:$I$400,doses_results!$L$2:$L$400,"",0)</f>
        <v>2.65[1.34,3.96]</v>
      </c>
      <c r="H27" s="7" t="str" cm="1">
        <f t="array" ref="H27">_xlfn.XLOOKUP($A27&amp;H$3&amp;$C$2&amp;$A$1,doses_results!$C$2:$C$400&amp;doses_results!$K$2:$K$400&amp;doses_results!$J$2:$J$400&amp;doses_results!$I$2:$I$400,doses_results!$L$2:$L$400,"",0)</f>
        <v/>
      </c>
      <c r="I27" s="7" t="str" cm="1">
        <f t="array" ref="I27">_xlfn.XLOOKUP($A27&amp;I$3&amp;$I$2&amp;$A$1,doses_results!$C$2:$C$400&amp;doses_results!$K$2:$K$400&amp;doses_results!$J$2:$J$400&amp;doses_results!$I$2:$I$400,doses_results!$L$2:$L$400,"",0)</f>
        <v>3.40[2.75,4.06]</v>
      </c>
      <c r="J27" s="7" t="str" cm="1">
        <f t="array" ref="J27">_xlfn.XLOOKUP($A27&amp;J$3&amp;$I$2&amp;$A$1,doses_results!$C$2:$C$400&amp;doses_results!$K$2:$K$400&amp;doses_results!$J$2:$J$400&amp;doses_results!$I$2:$I$400,doses_results!$L$2:$L$400,"",0)</f>
        <v>2.43[2.09,2.77]</v>
      </c>
    </row>
    <row r="28" spans="1:10" x14ac:dyDescent="0.25">
      <c r="A28" t="s">
        <v>90</v>
      </c>
      <c r="B28" t="s">
        <v>135</v>
      </c>
      <c r="C28" t="str" cm="1">
        <f t="array" ref="C28">_xlfn.XLOOKUP($A28&amp;C$3&amp;$C$2&amp;$A$1,doses_results!$C$2:$C$400&amp;doses_results!$K$2:$K$400&amp;doses_results!$J$2:$J$400&amp;doses_results!$I$2:$I$400,doses_results!$L$2:$L$400,"",0)</f>
        <v/>
      </c>
      <c r="D28" t="str" cm="1">
        <f t="array" ref="D28">_xlfn.XLOOKUP($A28&amp;D$3&amp;$C$2&amp;$A$1,doses_results!$C$2:$C$400&amp;doses_results!$K$2:$K$400&amp;doses_results!$J$2:$J$400&amp;doses_results!$I$2:$I$400,doses_results!$L$2:$L$400,"",0)</f>
        <v/>
      </c>
      <c r="E28" t="str" cm="1">
        <f t="array" ref="E28">_xlfn.XLOOKUP($A28&amp;E$3&amp;$C$2&amp;$A$1,doses_results!$C$2:$C$400&amp;doses_results!$K$2:$K$400&amp;doses_results!$J$2:$J$400&amp;doses_results!$I$2:$I$400,doses_results!$L$2:$L$400,"",0)</f>
        <v/>
      </c>
      <c r="F28" t="str" cm="1">
        <f t="array" ref="F28">_xlfn.XLOOKUP($A28&amp;F$3&amp;$F$2&amp;$A$1,doses_results!$C$2:$C$400&amp;doses_results!$K$2:$K$400&amp;doses_results!$J$2:$J$400&amp;doses_results!$I$2:$I$400,doses_results!$L$2:$L$400,"",0)</f>
        <v>10.17[-3.74,24.07]</v>
      </c>
      <c r="G28" t="str" cm="1">
        <f t="array" ref="G28">_xlfn.XLOOKUP($A28&amp;G$3&amp;$F$2&amp;$A$1,doses_results!$C$2:$C$400&amp;doses_results!$K$2:$K$400&amp;doses_results!$J$2:$J$400&amp;doses_results!$I$2:$I$400,doses_results!$L$2:$L$400,"",0)</f>
        <v>9.12[-4.72,22.97]</v>
      </c>
      <c r="H28" t="str" cm="1">
        <f t="array" ref="H28">_xlfn.XLOOKUP($A28&amp;H$3&amp;$C$2&amp;$A$1,doses_results!$C$2:$C$400&amp;doses_results!$K$2:$K$400&amp;doses_results!$J$2:$J$400&amp;doses_results!$I$2:$I$400,doses_results!$L$2:$L$400,"",0)</f>
        <v/>
      </c>
      <c r="I28" t="str" cm="1">
        <f t="array" ref="I28">_xlfn.XLOOKUP($A28&amp;I$3&amp;$I$2&amp;$A$1,doses_results!$C$2:$C$400&amp;doses_results!$K$2:$K$400&amp;doses_results!$J$2:$J$400&amp;doses_results!$I$2:$I$400,doses_results!$L$2:$L$400,"",0)</f>
        <v>7.27[-6.24,20.79]</v>
      </c>
      <c r="J28" t="str" cm="1">
        <f t="array" ref="J28">_xlfn.XLOOKUP($A28&amp;J$3&amp;$I$2&amp;$A$1,doses_results!$C$2:$C$400&amp;doses_results!$K$2:$K$400&amp;doses_results!$J$2:$J$400&amp;doses_results!$I$2:$I$400,doses_results!$L$2:$L$400,"",0)</f>
        <v/>
      </c>
    </row>
    <row r="29" spans="1:10" x14ac:dyDescent="0.25">
      <c r="A29" t="s">
        <v>97</v>
      </c>
      <c r="B29" t="s">
        <v>168</v>
      </c>
      <c r="C29" t="str" cm="1">
        <f t="array" ref="C29">_xlfn.XLOOKUP($A29&amp;C$3&amp;$C$2&amp;$A$1,doses_results!$C$2:$C$400&amp;doses_results!$K$2:$K$400&amp;doses_results!$J$2:$J$400&amp;doses_results!$I$2:$I$400,doses_results!$L$2:$L$400,"",0)</f>
        <v/>
      </c>
      <c r="D29" t="str" cm="1">
        <f t="array" ref="D29">_xlfn.XLOOKUP($A29&amp;D$3&amp;$C$2&amp;$A$1,doses_results!$C$2:$C$400&amp;doses_results!$K$2:$K$400&amp;doses_results!$J$2:$J$400&amp;doses_results!$I$2:$I$400,doses_results!$L$2:$L$400,"",0)</f>
        <v/>
      </c>
      <c r="E29" t="str" cm="1">
        <f t="array" ref="E29">_xlfn.XLOOKUP($A29&amp;E$3&amp;$C$2&amp;$A$1,doses_results!$C$2:$C$400&amp;doses_results!$K$2:$K$400&amp;doses_results!$J$2:$J$400&amp;doses_results!$I$2:$I$400,doses_results!$L$2:$L$400,"",0)</f>
        <v/>
      </c>
      <c r="F29" t="str" cm="1">
        <f t="array" ref="F29">_xlfn.XLOOKUP($A29&amp;F$3&amp;$F$2&amp;$A$1,doses_results!$C$2:$C$400&amp;doses_results!$K$2:$K$400&amp;doses_results!$J$2:$J$400&amp;doses_results!$I$2:$I$400,doses_results!$L$2:$L$400,"",0)</f>
        <v/>
      </c>
      <c r="G29" t="str" cm="1">
        <f t="array" ref="G29">_xlfn.XLOOKUP($A29&amp;G$3&amp;$F$2&amp;$A$1,doses_results!$C$2:$C$400&amp;doses_results!$K$2:$K$400&amp;doses_results!$J$2:$J$400&amp;doses_results!$I$2:$I$400,doses_results!$L$2:$L$400,"",0)</f>
        <v/>
      </c>
      <c r="H29" t="str" cm="1">
        <f t="array" ref="H29">_xlfn.XLOOKUP($A29&amp;H$3&amp;$C$2&amp;$A$1,doses_results!$C$2:$C$400&amp;doses_results!$K$2:$K$400&amp;doses_results!$J$2:$J$400&amp;doses_results!$I$2:$I$400,doses_results!$L$2:$L$400,"",0)</f>
        <v/>
      </c>
      <c r="I29" t="str" cm="1">
        <f t="array" ref="I29">_xlfn.XLOOKUP($A29&amp;I$3&amp;$I$2&amp;$A$1,doses_results!$C$2:$C$400&amp;doses_results!$K$2:$K$400&amp;doses_results!$J$2:$J$400&amp;doses_results!$I$2:$I$400,doses_results!$L$2:$L$400,"",0)</f>
        <v>1.35[0.53,2.16]</v>
      </c>
      <c r="J29" t="str" cm="1">
        <f t="array" ref="J29">_xlfn.XLOOKUP($A29&amp;J$3&amp;$I$2&amp;$A$1,doses_results!$C$2:$C$400&amp;doses_results!$K$2:$K$400&amp;doses_results!$J$2:$J$400&amp;doses_results!$I$2:$I$400,doses_results!$L$2:$L$400,"",0)</f>
        <v>1.07[0.24,1.91]</v>
      </c>
    </row>
    <row r="30" spans="1:10" x14ac:dyDescent="0.25">
      <c r="A30" t="s">
        <v>145</v>
      </c>
      <c r="B30" t="s">
        <v>155</v>
      </c>
      <c r="C30" t="str" cm="1">
        <f t="array" ref="C30">_xlfn.XLOOKUP($A30&amp;C$3&amp;$C$2&amp;$A$1,doses_results!$C$2:$C$400&amp;doses_results!$K$2:$K$400&amp;doses_results!$J$2:$J$400&amp;doses_results!$I$2:$I$400,doses_results!$L$2:$L$400,"",0)</f>
        <v/>
      </c>
      <c r="D30" t="str" cm="1">
        <f t="array" ref="D30">_xlfn.XLOOKUP($A30&amp;D$3&amp;$C$2&amp;$A$1,doses_results!$C$2:$C$400&amp;doses_results!$K$2:$K$400&amp;doses_results!$J$2:$J$400&amp;doses_results!$I$2:$I$400,doses_results!$L$2:$L$400,"",0)</f>
        <v/>
      </c>
      <c r="E30" t="str" cm="1">
        <f t="array" ref="E30">_xlfn.XLOOKUP($A30&amp;E$3&amp;$C$2&amp;$A$1,doses_results!$C$2:$C$400&amp;doses_results!$K$2:$K$400&amp;doses_results!$J$2:$J$400&amp;doses_results!$I$2:$I$400,doses_results!$L$2:$L$400,"",0)</f>
        <v/>
      </c>
      <c r="F30" t="str" cm="1">
        <f t="array" ref="F30">_xlfn.XLOOKUP($A30&amp;F$3&amp;$F$2&amp;$A$1,doses_results!$C$2:$C$400&amp;doses_results!$K$2:$K$400&amp;doses_results!$J$2:$J$400&amp;doses_results!$I$2:$I$400,doses_results!$L$2:$L$400,"",0)</f>
        <v/>
      </c>
      <c r="G30" t="str" cm="1">
        <f t="array" ref="G30">_xlfn.XLOOKUP($A30&amp;G$3&amp;$F$2&amp;$A$1,doses_results!$C$2:$C$400&amp;doses_results!$K$2:$K$400&amp;doses_results!$J$2:$J$400&amp;doses_results!$I$2:$I$400,doses_results!$L$2:$L$400,"",0)</f>
        <v/>
      </c>
      <c r="H30" t="str" cm="1">
        <f t="array" ref="H30">_xlfn.XLOOKUP($A30&amp;H$3&amp;$C$2&amp;$A$1,doses_results!$C$2:$C$400&amp;doses_results!$K$2:$K$400&amp;doses_results!$J$2:$J$400&amp;doses_results!$I$2:$I$400,doses_results!$L$2:$L$400,"",0)</f>
        <v/>
      </c>
      <c r="I30" t="str" cm="1">
        <f t="array" ref="I30">_xlfn.XLOOKUP($A30&amp;I$3&amp;$I$2&amp;$A$1,doses_results!$C$2:$C$400&amp;doses_results!$K$2:$K$400&amp;doses_results!$J$2:$J$400&amp;doses_results!$I$2:$I$400,doses_results!$L$2:$L$400,"",0)</f>
        <v>0.22[-0.29,0.72]</v>
      </c>
      <c r="J30" t="str" cm="1">
        <f t="array" ref="J30">_xlfn.XLOOKUP($A30&amp;J$3&amp;$I$2&amp;$A$1,doses_results!$C$2:$C$400&amp;doses_results!$K$2:$K$400&amp;doses_results!$J$2:$J$400&amp;doses_results!$I$2:$I$400,doses_results!$L$2:$L$400,"",0)</f>
        <v/>
      </c>
    </row>
    <row r="31" spans="1:10" x14ac:dyDescent="0.25">
      <c r="A31" t="s">
        <v>96</v>
      </c>
      <c r="B31" t="s">
        <v>96</v>
      </c>
      <c r="C31" t="str" cm="1">
        <f t="array" ref="C31">_xlfn.XLOOKUP($A31&amp;C$3&amp;$C$2&amp;$A$1,doses_results!$C$2:$C$400&amp;doses_results!$K$2:$K$400&amp;doses_results!$J$2:$J$400&amp;doses_results!$I$2:$I$400,doses_results!$L$2:$L$400,"",0)</f>
        <v/>
      </c>
      <c r="D31" t="str" cm="1">
        <f t="array" ref="D31">_xlfn.XLOOKUP($A31&amp;D$3&amp;$C$2&amp;$A$1,doses_results!$C$2:$C$400&amp;doses_results!$K$2:$K$400&amp;doses_results!$J$2:$J$400&amp;doses_results!$I$2:$I$400,doses_results!$L$2:$L$400,"",0)</f>
        <v/>
      </c>
      <c r="E31" t="str" cm="1">
        <f t="array" ref="E31">_xlfn.XLOOKUP($A31&amp;E$3&amp;$C$2&amp;$A$1,doses_results!$C$2:$C$400&amp;doses_results!$K$2:$K$400&amp;doses_results!$J$2:$J$400&amp;doses_results!$I$2:$I$400,doses_results!$L$2:$L$400,"",0)</f>
        <v/>
      </c>
      <c r="F31" t="str" cm="1">
        <f t="array" ref="F31">_xlfn.XLOOKUP($A31&amp;F$3&amp;$F$2&amp;$A$1,doses_results!$C$2:$C$400&amp;doses_results!$K$2:$K$400&amp;doses_results!$J$2:$J$400&amp;doses_results!$I$2:$I$400,doses_results!$L$2:$L$400,"",0)</f>
        <v/>
      </c>
      <c r="G31" t="str" cm="1">
        <f t="array" ref="G31">_xlfn.XLOOKUP($A31&amp;G$3&amp;$F$2&amp;$A$1,doses_results!$C$2:$C$400&amp;doses_results!$K$2:$K$400&amp;doses_results!$J$2:$J$400&amp;doses_results!$I$2:$I$400,doses_results!$L$2:$L$400,"",0)</f>
        <v/>
      </c>
      <c r="H31" t="str" cm="1">
        <f t="array" ref="H31">_xlfn.XLOOKUP($A31&amp;H$3&amp;$C$2&amp;$A$1,doses_results!$C$2:$C$400&amp;doses_results!$K$2:$K$400&amp;doses_results!$J$2:$J$400&amp;doses_results!$I$2:$I$400,doses_results!$L$2:$L$400,"",0)</f>
        <v/>
      </c>
      <c r="I31" t="str" cm="1">
        <f t="array" ref="I31">_xlfn.XLOOKUP($A31&amp;I$3&amp;$I$2&amp;$A$1,doses_results!$C$2:$C$400&amp;doses_results!$K$2:$K$400&amp;doses_results!$J$2:$J$400&amp;doses_results!$I$2:$I$400,doses_results!$L$2:$L$400,"",0)</f>
        <v>-1.28[-2.13,-0.43]</v>
      </c>
      <c r="J31" t="str" cm="1">
        <f t="array" ref="J31">_xlfn.XLOOKUP($A31&amp;J$3&amp;$I$2&amp;$A$1,doses_results!$C$2:$C$400&amp;doses_results!$K$2:$K$400&amp;doses_results!$J$2:$J$400&amp;doses_results!$I$2:$I$400,doses_results!$L$2:$L$400,"",0)</f>
        <v>-1.10[-1.97,-0.23]</v>
      </c>
    </row>
    <row r="32" spans="1:10" x14ac:dyDescent="0.25">
      <c r="A32" t="s">
        <v>98</v>
      </c>
      <c r="B32" t="s">
        <v>136</v>
      </c>
      <c r="C32" t="str" cm="1">
        <f t="array" ref="C32">_xlfn.XLOOKUP($A32&amp;C$3&amp;$C$2&amp;$A$1,doses_results!$C$2:$C$400&amp;doses_results!$K$2:$K$400&amp;doses_results!$J$2:$J$400&amp;doses_results!$I$2:$I$400,doses_results!$L$2:$L$400,"",0)</f>
        <v/>
      </c>
      <c r="D32" t="str" cm="1">
        <f t="array" ref="D32">_xlfn.XLOOKUP($A32&amp;D$3&amp;$C$2&amp;$A$1,doses_results!$C$2:$C$400&amp;doses_results!$K$2:$K$400&amp;doses_results!$J$2:$J$400&amp;doses_results!$I$2:$I$400,doses_results!$L$2:$L$400,"",0)</f>
        <v/>
      </c>
      <c r="E32" t="str" cm="1">
        <f t="array" ref="E32">_xlfn.XLOOKUP($A32&amp;E$3&amp;$C$2&amp;$A$1,doses_results!$C$2:$C$400&amp;doses_results!$K$2:$K$400&amp;doses_results!$J$2:$J$400&amp;doses_results!$I$2:$I$400,doses_results!$L$2:$L$400,"",0)</f>
        <v/>
      </c>
      <c r="F32" t="str" cm="1">
        <f t="array" ref="F32">_xlfn.XLOOKUP($A32&amp;F$3&amp;$F$2&amp;$A$1,doses_results!$C$2:$C$400&amp;doses_results!$K$2:$K$400&amp;doses_results!$J$2:$J$400&amp;doses_results!$I$2:$I$400,doses_results!$L$2:$L$400,"",0)</f>
        <v/>
      </c>
      <c r="G32" t="str" cm="1">
        <f t="array" ref="G32">_xlfn.XLOOKUP($A32&amp;G$3&amp;$F$2&amp;$A$1,doses_results!$C$2:$C$400&amp;doses_results!$K$2:$K$400&amp;doses_results!$J$2:$J$400&amp;doses_results!$I$2:$I$400,doses_results!$L$2:$L$400,"",0)</f>
        <v/>
      </c>
      <c r="H32" t="str" cm="1">
        <f t="array" ref="H32">_xlfn.XLOOKUP($A32&amp;H$3&amp;$C$2&amp;$A$1,doses_results!$C$2:$C$400&amp;doses_results!$K$2:$K$400&amp;doses_results!$J$2:$J$400&amp;doses_results!$I$2:$I$400,doses_results!$L$2:$L$400,"",0)</f>
        <v/>
      </c>
      <c r="I32" t="str" cm="1">
        <f t="array" ref="I32">_xlfn.XLOOKUP($A32&amp;I$3&amp;$I$2&amp;$A$1,doses_results!$C$2:$C$400&amp;doses_results!$K$2:$K$400&amp;doses_results!$J$2:$J$400&amp;doses_results!$I$2:$I$400,doses_results!$L$2:$L$400,"",0)</f>
        <v>0.49[-0.23,1.22]</v>
      </c>
      <c r="J32" t="str" cm="1">
        <f t="array" ref="J32">_xlfn.XLOOKUP($A32&amp;J$3&amp;$I$2&amp;$A$1,doses_results!$C$2:$C$400&amp;doses_results!$K$2:$K$400&amp;doses_results!$J$2:$J$400&amp;doses_results!$I$2:$I$400,doses_results!$L$2:$L$400,"",0)</f>
        <v>1.00[0.18,1.81]</v>
      </c>
    </row>
    <row r="33" spans="1:10" x14ac:dyDescent="0.25">
      <c r="A33" t="s">
        <v>109</v>
      </c>
      <c r="B33" t="s">
        <v>141</v>
      </c>
      <c r="C33" t="str" cm="1">
        <f t="array" ref="C33">_xlfn.XLOOKUP($A33&amp;C$3&amp;$C$2&amp;$A$1,doses_results!$C$2:$C$400&amp;doses_results!$K$2:$K$400&amp;doses_results!$J$2:$J$400&amp;doses_results!$I$2:$I$400,doses_results!$L$2:$L$400,"",0)</f>
        <v/>
      </c>
      <c r="D33" t="str" cm="1">
        <f t="array" ref="D33">_xlfn.XLOOKUP($A33&amp;D$3&amp;$C$2&amp;$A$1,doses_results!$C$2:$C$400&amp;doses_results!$K$2:$K$400&amp;doses_results!$J$2:$J$400&amp;doses_results!$I$2:$I$400,doses_results!$L$2:$L$400,"",0)</f>
        <v/>
      </c>
      <c r="E33" t="str" cm="1">
        <f t="array" ref="E33">_xlfn.XLOOKUP($A33&amp;E$3&amp;$C$2&amp;$A$1,doses_results!$C$2:$C$400&amp;doses_results!$K$2:$K$400&amp;doses_results!$J$2:$J$400&amp;doses_results!$I$2:$I$400,doses_results!$L$2:$L$400,"",0)</f>
        <v/>
      </c>
      <c r="F33" t="str" cm="1">
        <f t="array" ref="F33">_xlfn.XLOOKUP($A33&amp;F$3&amp;$F$2&amp;$A$1,doses_results!$C$2:$C$400&amp;doses_results!$K$2:$K$400&amp;doses_results!$J$2:$J$400&amp;doses_results!$I$2:$I$400,doses_results!$L$2:$L$400,"",0)</f>
        <v/>
      </c>
      <c r="G33" t="str" cm="1">
        <f t="array" ref="G33">_xlfn.XLOOKUP($A33&amp;G$3&amp;$F$2&amp;$A$1,doses_results!$C$2:$C$400&amp;doses_results!$K$2:$K$400&amp;doses_results!$J$2:$J$400&amp;doses_results!$I$2:$I$400,doses_results!$L$2:$L$400,"",0)</f>
        <v/>
      </c>
      <c r="H33" t="str" cm="1">
        <f t="array" ref="H33">_xlfn.XLOOKUP($A33&amp;H$3&amp;$C$2&amp;$A$1,doses_results!$C$2:$C$400&amp;doses_results!$K$2:$K$400&amp;doses_results!$J$2:$J$400&amp;doses_results!$I$2:$I$400,doses_results!$L$2:$L$400,"",0)</f>
        <v/>
      </c>
      <c r="I33" t="str" cm="1">
        <f t="array" ref="I33">_xlfn.XLOOKUP($A33&amp;I$3&amp;$I$2&amp;$A$1,doses_results!$C$2:$C$400&amp;doses_results!$K$2:$K$400&amp;doses_results!$J$2:$J$400&amp;doses_results!$I$2:$I$400,doses_results!$L$2:$L$400,"",0)</f>
        <v>0.52[0.07,0.98]</v>
      </c>
      <c r="J33" t="str" cm="1">
        <f t="array" ref="J33">_xlfn.XLOOKUP($A33&amp;J$3&amp;$I$2&amp;$A$1,doses_results!$C$2:$C$400&amp;doses_results!$K$2:$K$400&amp;doses_results!$J$2:$J$400&amp;doses_results!$I$2:$I$400,doses_results!$L$2:$L$400,"",0)</f>
        <v>0.65[0.18,1.13]</v>
      </c>
    </row>
    <row r="34" spans="1:10" x14ac:dyDescent="0.25">
      <c r="A34" t="s">
        <v>105</v>
      </c>
      <c r="B34" t="s">
        <v>139</v>
      </c>
      <c r="C34" t="str" cm="1">
        <f t="array" ref="C34">_xlfn.XLOOKUP($A34&amp;C$3&amp;$C$2&amp;$A$1,doses_results!$C$2:$C$400&amp;doses_results!$K$2:$K$400&amp;doses_results!$J$2:$J$400&amp;doses_results!$I$2:$I$400,doses_results!$L$2:$L$400,"",0)</f>
        <v/>
      </c>
      <c r="D34" t="str" cm="1">
        <f t="array" ref="D34">_xlfn.XLOOKUP($A34&amp;D$3&amp;$C$2&amp;$A$1,doses_results!$C$2:$C$400&amp;doses_results!$K$2:$K$400&amp;doses_results!$J$2:$J$400&amp;doses_results!$I$2:$I$400,doses_results!$L$2:$L$400,"",0)</f>
        <v/>
      </c>
      <c r="E34" t="str" cm="1">
        <f t="array" ref="E34">_xlfn.XLOOKUP($A34&amp;E$3&amp;$C$2&amp;$A$1,doses_results!$C$2:$C$400&amp;doses_results!$K$2:$K$400&amp;doses_results!$J$2:$J$400&amp;doses_results!$I$2:$I$400,doses_results!$L$2:$L$400,"",0)</f>
        <v/>
      </c>
      <c r="F34" t="str" cm="1">
        <f t="array" ref="F34">_xlfn.XLOOKUP($A34&amp;F$3&amp;$F$2&amp;$A$1,doses_results!$C$2:$C$400&amp;doses_results!$K$2:$K$400&amp;doses_results!$J$2:$J$400&amp;doses_results!$I$2:$I$400,doses_results!$L$2:$L$400,"",0)</f>
        <v/>
      </c>
      <c r="G34" t="str" cm="1">
        <f t="array" ref="G34">_xlfn.XLOOKUP($A34&amp;G$3&amp;$F$2&amp;$A$1,doses_results!$C$2:$C$400&amp;doses_results!$K$2:$K$400&amp;doses_results!$J$2:$J$400&amp;doses_results!$I$2:$I$400,doses_results!$L$2:$L$400,"",0)</f>
        <v/>
      </c>
      <c r="H34" t="str" cm="1">
        <f t="array" ref="H34">_xlfn.XLOOKUP($A34&amp;H$3&amp;$C$2&amp;$A$1,doses_results!$C$2:$C$400&amp;doses_results!$K$2:$K$400&amp;doses_results!$J$2:$J$400&amp;doses_results!$I$2:$I$400,doses_results!$L$2:$L$400,"",0)</f>
        <v/>
      </c>
      <c r="I34" t="str" cm="1">
        <f t="array" ref="I34">_xlfn.XLOOKUP($A34&amp;I$3&amp;$I$2&amp;$A$1,doses_results!$C$2:$C$400&amp;doses_results!$K$2:$K$400&amp;doses_results!$J$2:$J$400&amp;doses_results!$I$2:$I$400,doses_results!$L$2:$L$400,"",0)</f>
        <v>0.21[-0.16,0.58]</v>
      </c>
      <c r="J34" t="str" cm="1">
        <f t="array" ref="J34">_xlfn.XLOOKUP($A34&amp;J$3&amp;$I$2&amp;$A$1,doses_results!$C$2:$C$400&amp;doses_results!$K$2:$K$400&amp;doses_results!$J$2:$J$400&amp;doses_results!$I$2:$I$400,doses_results!$L$2:$L$400,"",0)</f>
        <v>0.31[-0.12,0.74]</v>
      </c>
    </row>
    <row r="35" spans="1:10" x14ac:dyDescent="0.25">
      <c r="A35" t="s">
        <v>107</v>
      </c>
      <c r="B35" t="s">
        <v>142</v>
      </c>
      <c r="C35" t="str" cm="1">
        <f t="array" ref="C35">_xlfn.XLOOKUP($A35&amp;C$3&amp;$C$2&amp;$A$1,doses_results!$C$2:$C$400&amp;doses_results!$K$2:$K$400&amp;doses_results!$J$2:$J$400&amp;doses_results!$I$2:$I$400,doses_results!$L$2:$L$400,"",0)</f>
        <v/>
      </c>
      <c r="D35" t="str" cm="1">
        <f t="array" ref="D35">_xlfn.XLOOKUP($A35&amp;D$3&amp;$C$2&amp;$A$1,doses_results!$C$2:$C$400&amp;doses_results!$K$2:$K$400&amp;doses_results!$J$2:$J$400&amp;doses_results!$I$2:$I$400,doses_results!$L$2:$L$400,"",0)</f>
        <v/>
      </c>
      <c r="E35" t="str" cm="1">
        <f t="array" ref="E35">_xlfn.XLOOKUP($A35&amp;E$3&amp;$C$2&amp;$A$1,doses_results!$C$2:$C$400&amp;doses_results!$K$2:$K$400&amp;doses_results!$J$2:$J$400&amp;doses_results!$I$2:$I$400,doses_results!$L$2:$L$400,"",0)</f>
        <v/>
      </c>
      <c r="F35" t="str" cm="1">
        <f t="array" ref="F35">_xlfn.XLOOKUP($A35&amp;F$3&amp;$F$2&amp;$A$1,doses_results!$C$2:$C$400&amp;doses_results!$K$2:$K$400&amp;doses_results!$J$2:$J$400&amp;doses_results!$I$2:$I$400,doses_results!$L$2:$L$400,"",0)</f>
        <v/>
      </c>
      <c r="G35" t="str" cm="1">
        <f t="array" ref="G35">_xlfn.XLOOKUP($A35&amp;G$3&amp;$F$2&amp;$A$1,doses_results!$C$2:$C$400&amp;doses_results!$K$2:$K$400&amp;doses_results!$J$2:$J$400&amp;doses_results!$I$2:$I$400,doses_results!$L$2:$L$400,"",0)</f>
        <v/>
      </c>
      <c r="H35" t="str" cm="1">
        <f t="array" ref="H35">_xlfn.XLOOKUP($A35&amp;H$3&amp;$C$2&amp;$A$1,doses_results!$C$2:$C$400&amp;doses_results!$K$2:$K$400&amp;doses_results!$J$2:$J$400&amp;doses_results!$I$2:$I$400,doses_results!$L$2:$L$400,"",0)</f>
        <v/>
      </c>
      <c r="I35" t="str" cm="1">
        <f t="array" ref="I35">_xlfn.XLOOKUP($A35&amp;I$3&amp;$I$2&amp;$A$1,doses_results!$C$2:$C$400&amp;doses_results!$K$2:$K$400&amp;doses_results!$J$2:$J$400&amp;doses_results!$I$2:$I$400,doses_results!$L$2:$L$400,"",0)</f>
        <v/>
      </c>
      <c r="J35" t="str" cm="1">
        <f t="array" ref="J35">_xlfn.XLOOKUP($A35&amp;J$3&amp;$I$2&amp;$A$1,doses_results!$C$2:$C$400&amp;doses_results!$K$2:$K$400&amp;doses_results!$J$2:$J$400&amp;doses_results!$I$2:$I$400,doses_results!$L$2:$L$400,"",0)</f>
        <v>0.78[-0.39,1.95]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A441-2E79-451A-AB34-4C8624E37CDE}">
  <sheetPr>
    <tabColor theme="3" tint="0.89999084444715716"/>
  </sheetPr>
  <dimension ref="A1:O313"/>
  <sheetViews>
    <sheetView topLeftCell="A6" zoomScale="105" zoomScaleNormal="70" workbookViewId="0">
      <selection activeCell="B29" sqref="B29"/>
    </sheetView>
  </sheetViews>
  <sheetFormatPr defaultRowHeight="15" x14ac:dyDescent="0.25"/>
  <cols>
    <col min="1" max="1" width="39.140625" bestFit="1" customWidth="1"/>
    <col min="2" max="2" width="39.140625" customWidth="1"/>
    <col min="3" max="8" width="19.28515625" customWidth="1"/>
    <col min="9" max="10" width="19.28515625" bestFit="1" customWidth="1"/>
    <col min="11" max="14" width="10.7109375" customWidth="1"/>
    <col min="15" max="15" width="11" customWidth="1"/>
    <col min="16" max="16" width="25" bestFit="1" customWidth="1"/>
    <col min="17" max="17" width="13.85546875" bestFit="1" customWidth="1"/>
    <col min="18" max="18" width="11.5703125" bestFit="1" customWidth="1"/>
    <col min="19" max="19" width="22.42578125" bestFit="1" customWidth="1"/>
    <col min="20" max="20" width="16.7109375" bestFit="1" customWidth="1"/>
    <col min="21" max="21" width="12.85546875" bestFit="1" customWidth="1"/>
    <col min="22" max="22" width="20" bestFit="1" customWidth="1"/>
    <col min="23" max="23" width="10.7109375" bestFit="1" customWidth="1"/>
    <col min="24" max="24" width="17.85546875" bestFit="1" customWidth="1"/>
    <col min="25" max="25" width="20.28515625" bestFit="1" customWidth="1"/>
    <col min="26" max="26" width="16.85546875" bestFit="1" customWidth="1"/>
    <col min="28" max="28" width="10.85546875" bestFit="1" customWidth="1"/>
    <col min="29" max="29" width="22.7109375" bestFit="1" customWidth="1"/>
    <col min="31" max="31" width="22.7109375" bestFit="1" customWidth="1"/>
    <col min="32" max="32" width="11.28515625" bestFit="1" customWidth="1"/>
  </cols>
  <sheetData>
    <row r="1" spans="1:15" x14ac:dyDescent="0.25">
      <c r="A1" t="s">
        <v>38</v>
      </c>
      <c r="O1" s="1"/>
    </row>
    <row r="2" spans="1:15" x14ac:dyDescent="0.25">
      <c r="C2" t="s">
        <v>12</v>
      </c>
      <c r="F2" t="s">
        <v>88</v>
      </c>
      <c r="I2" t="s">
        <v>95</v>
      </c>
      <c r="O2" s="1"/>
    </row>
    <row r="3" spans="1:15" x14ac:dyDescent="0.25">
      <c r="A3" t="s">
        <v>1</v>
      </c>
      <c r="B3" t="s">
        <v>1</v>
      </c>
      <c r="C3" t="s">
        <v>13</v>
      </c>
      <c r="D3" t="s">
        <v>87</v>
      </c>
      <c r="F3" t="s">
        <v>13</v>
      </c>
      <c r="G3" t="s">
        <v>87</v>
      </c>
      <c r="I3" t="s">
        <v>13</v>
      </c>
      <c r="J3" t="s">
        <v>87</v>
      </c>
      <c r="O3" s="1"/>
    </row>
    <row r="4" spans="1:15" x14ac:dyDescent="0.25">
      <c r="A4" t="s">
        <v>14</v>
      </c>
      <c r="B4" t="s">
        <v>113</v>
      </c>
      <c r="C4" t="str" cm="1">
        <f t="array" ref="C4">_xlfn.XLOOKUP($A4&amp;C$3&amp;$C$2&amp;$A$1,doses_results!$C$2:$C$400&amp;doses_results!$K$2:$K$400&amp;doses_results!$J$2:$J$400&amp;doses_results!$I$2:$I$400,doses_results!$L$2:$L$400,"",0)</f>
        <v>-0.17[-0.64,0.30]</v>
      </c>
      <c r="D4" t="str" cm="1">
        <f t="array" ref="D4">_xlfn.XLOOKUP($A4&amp;D$3&amp;$C$2&amp;$A$1,doses_results!$C$2:$C$400&amp;doses_results!$K$2:$K$400&amp;doses_results!$J$2:$J$400&amp;doses_results!$I$2:$I$400,doses_results!$L$2:$L$400,"",0)</f>
        <v>-0.22[-0.69,0.25]</v>
      </c>
      <c r="E4" t="str" cm="1">
        <f t="array" ref="E4">_xlfn.XLOOKUP($A4&amp;E$3&amp;$C$2&amp;$A$1,doses_results!$C$2:$C$400&amp;doses_results!$K$2:$K$400&amp;doses_results!$J$2:$J$400&amp;doses_results!$I$2:$I$400,doses_results!$L$2:$L$400,"",0)</f>
        <v/>
      </c>
      <c r="F4" t="str" cm="1">
        <f t="array" ref="F4">_xlfn.XLOOKUP($A4&amp;F$3&amp;$F$2&amp;$A$1,doses_results!$C$2:$C$400&amp;doses_results!$K$2:$K$400&amp;doses_results!$J$2:$J$400&amp;doses_results!$I$2:$I$400,doses_results!$L$2:$L$400,"",0)</f>
        <v>-15.56[-29.58,-1.54]</v>
      </c>
      <c r="G4" t="str" cm="1">
        <f t="array" ref="G4">_xlfn.XLOOKUP($A4&amp;G$3&amp;$F$2&amp;$A$1,doses_results!$C$2:$C$400&amp;doses_results!$K$2:$K$400&amp;doses_results!$J$2:$J$400&amp;doses_results!$I$2:$I$400,doses_results!$L$2:$L$400,"",0)</f>
        <v>-14.94[-28.93,-0.94]</v>
      </c>
      <c r="H4" t="str" cm="1">
        <f t="array" ref="H4">_xlfn.XLOOKUP($A4&amp;H$3&amp;$C$2&amp;$A$1,doses_results!$C$2:$C$400&amp;doses_results!$K$2:$K$400&amp;doses_results!$J$2:$J$400&amp;doses_results!$I$2:$I$400,doses_results!$L$2:$L$400,"",0)</f>
        <v/>
      </c>
      <c r="I4" t="str" cm="1">
        <f t="array" ref="I4">_xlfn.XLOOKUP($A4&amp;I$3&amp;$I$2&amp;$A$1,doses_results!$C$2:$C$400&amp;doses_results!$K$2:$K$400&amp;doses_results!$J$2:$J$400&amp;doses_results!$I$2:$I$400,doses_results!$L$2:$L$400,"",0)</f>
        <v>-12.65[-26.21,0.92]</v>
      </c>
      <c r="J4" t="str" cm="1">
        <f t="array" ref="J4">_xlfn.XLOOKUP($A4&amp;J$3&amp;$I$2&amp;$A$1,doses_results!$C$2:$C$400&amp;doses_results!$K$2:$K$400&amp;doses_results!$J$2:$J$400&amp;doses_results!$I$2:$I$400,doses_results!$L$2:$L$400,"",0)</f>
        <v/>
      </c>
      <c r="O4" s="1"/>
    </row>
    <row r="5" spans="1:15" x14ac:dyDescent="0.25">
      <c r="A5" t="s">
        <v>15</v>
      </c>
      <c r="B5" t="s">
        <v>114</v>
      </c>
      <c r="C5" t="str" cm="1">
        <f t="array" ref="C5">_xlfn.XLOOKUP($A5&amp;C$3&amp;$C$2&amp;$A$1,doses_results!$C$2:$C$400&amp;doses_results!$K$2:$K$400&amp;doses_results!$J$2:$J$400&amp;doses_results!$I$2:$I$400,doses_results!$L$2:$L$400,"",0)</f>
        <v>-0.01[-1.07,1.04]</v>
      </c>
      <c r="D5" t="str" cm="1">
        <f t="array" ref="D5">_xlfn.XLOOKUP($A5&amp;D$3&amp;$C$2&amp;$A$1,doses_results!$C$2:$C$400&amp;doses_results!$K$2:$K$400&amp;doses_results!$J$2:$J$400&amp;doses_results!$I$2:$I$400,doses_results!$L$2:$L$400,"",0)</f>
        <v>0.10[-0.96,1.16]</v>
      </c>
      <c r="E5" t="str" cm="1">
        <f t="array" ref="E5">_xlfn.XLOOKUP($A5&amp;E$3&amp;$C$2&amp;$A$1,doses_results!$C$2:$C$400&amp;doses_results!$K$2:$K$400&amp;doses_results!$J$2:$J$400&amp;doses_results!$I$2:$I$400,doses_results!$L$2:$L$400,"",0)</f>
        <v/>
      </c>
      <c r="F5" t="str" cm="1">
        <f t="array" ref="F5">_xlfn.XLOOKUP($A5&amp;F$3&amp;$F$2&amp;$A$1,doses_results!$C$2:$C$400&amp;doses_results!$K$2:$K$400&amp;doses_results!$J$2:$J$400&amp;doses_results!$I$2:$I$400,doses_results!$L$2:$L$400,"",0)</f>
        <v/>
      </c>
      <c r="G5" t="str" cm="1">
        <f t="array" ref="G5">_xlfn.XLOOKUP($A5&amp;G$3&amp;$F$2&amp;$A$1,doses_results!$C$2:$C$400&amp;doses_results!$K$2:$K$400&amp;doses_results!$J$2:$J$400&amp;doses_results!$I$2:$I$400,doses_results!$L$2:$L$400,"",0)</f>
        <v/>
      </c>
      <c r="H5" t="str" cm="1">
        <f t="array" ref="H5">_xlfn.XLOOKUP($A5&amp;H$3&amp;$C$2&amp;$A$1,doses_results!$C$2:$C$400&amp;doses_results!$K$2:$K$400&amp;doses_results!$J$2:$J$400&amp;doses_results!$I$2:$I$400,doses_results!$L$2:$L$400,"",0)</f>
        <v/>
      </c>
      <c r="I5" t="str" cm="1">
        <f t="array" ref="I5">_xlfn.XLOOKUP($A5&amp;I$3&amp;$I$2&amp;$A$1,doses_results!$C$2:$C$400&amp;doses_results!$K$2:$K$400&amp;doses_results!$J$2:$J$400&amp;doses_results!$I$2:$I$400,doses_results!$L$2:$L$400,"",0)</f>
        <v/>
      </c>
      <c r="J5" t="str" cm="1">
        <f t="array" ref="J5">_xlfn.XLOOKUP($A5&amp;J$3&amp;$I$2&amp;$A$1,doses_results!$C$2:$C$400&amp;doses_results!$K$2:$K$400&amp;doses_results!$J$2:$J$400&amp;doses_results!$I$2:$I$400,doses_results!$L$2:$L$400,"",0)</f>
        <v>0.60[0.31,0.90]</v>
      </c>
      <c r="O5" s="1"/>
    </row>
    <row r="6" spans="1:15" x14ac:dyDescent="0.25">
      <c r="A6" t="s">
        <v>16</v>
      </c>
      <c r="B6" t="s">
        <v>115</v>
      </c>
      <c r="C6" t="str" cm="1">
        <f t="array" ref="C6">_xlfn.XLOOKUP($A6&amp;C$3&amp;$C$2&amp;$A$1,doses_results!$C$2:$C$400&amp;doses_results!$K$2:$K$400&amp;doses_results!$J$2:$J$400&amp;doses_results!$I$2:$I$400,doses_results!$L$2:$L$400,"",0)</f>
        <v>-0.84[-2.14,0.46]</v>
      </c>
      <c r="D6" t="str" cm="1">
        <f t="array" ref="D6">_xlfn.XLOOKUP($A6&amp;D$3&amp;$C$2&amp;$A$1,doses_results!$C$2:$C$400&amp;doses_results!$K$2:$K$400&amp;doses_results!$J$2:$J$400&amp;doses_results!$I$2:$I$400,doses_results!$L$2:$L$400,"",0)</f>
        <v>-0.75[-2.06,0.57]</v>
      </c>
      <c r="E6" t="str" cm="1">
        <f t="array" ref="E6">_xlfn.XLOOKUP($A6&amp;E$3&amp;$C$2&amp;$A$1,doses_results!$C$2:$C$400&amp;doses_results!$K$2:$K$400&amp;doses_results!$J$2:$J$400&amp;doses_results!$I$2:$I$400,doses_results!$L$2:$L$400,"",0)</f>
        <v/>
      </c>
      <c r="F6" t="str" cm="1">
        <f t="array" ref="F6">_xlfn.XLOOKUP($A6&amp;F$3&amp;$F$2&amp;$A$1,doses_results!$C$2:$C$400&amp;doses_results!$K$2:$K$400&amp;doses_results!$J$2:$J$400&amp;doses_results!$I$2:$I$400,doses_results!$L$2:$L$400,"",0)</f>
        <v>-0.25[-0.78,0.29]</v>
      </c>
      <c r="G6" t="str" cm="1">
        <f t="array" ref="G6">_xlfn.XLOOKUP($A6&amp;G$3&amp;$F$2&amp;$A$1,doses_results!$C$2:$C$400&amp;doses_results!$K$2:$K$400&amp;doses_results!$J$2:$J$400&amp;doses_results!$I$2:$I$400,doses_results!$L$2:$L$400,"",0)</f>
        <v>-0.26[-0.80,0.28]</v>
      </c>
      <c r="H6" t="str" cm="1">
        <f t="array" ref="H6">_xlfn.XLOOKUP($A6&amp;H$3&amp;$C$2&amp;$A$1,doses_results!$C$2:$C$400&amp;doses_results!$K$2:$K$400&amp;doses_results!$J$2:$J$400&amp;doses_results!$I$2:$I$400,doses_results!$L$2:$L$400,"",0)</f>
        <v/>
      </c>
      <c r="I6" t="str" cm="1">
        <f t="array" ref="I6">_xlfn.XLOOKUP($A6&amp;I$3&amp;$I$2&amp;$A$1,doses_results!$C$2:$C$400&amp;doses_results!$K$2:$K$400&amp;doses_results!$J$2:$J$400&amp;doses_results!$I$2:$I$400,doses_results!$L$2:$L$400,"",0)</f>
        <v/>
      </c>
      <c r="J6" t="str" cm="1">
        <f t="array" ref="J6">_xlfn.XLOOKUP($A6&amp;J$3&amp;$I$2&amp;$A$1,doses_results!$C$2:$C$400&amp;doses_results!$K$2:$K$400&amp;doses_results!$J$2:$J$400&amp;doses_results!$I$2:$I$400,doses_results!$L$2:$L$400,"",0)</f>
        <v/>
      </c>
      <c r="O6" s="1"/>
    </row>
    <row r="7" spans="1:15" x14ac:dyDescent="0.25">
      <c r="A7" s="2" t="s">
        <v>17</v>
      </c>
      <c r="B7" s="2" t="s">
        <v>116</v>
      </c>
      <c r="C7" s="2" t="str" cm="1">
        <f t="array" ref="C7">_xlfn.XLOOKUP($A7&amp;C$3&amp;$C$2&amp;$A$1,doses_results!$C$2:$C$400&amp;doses_results!$K$2:$K$400&amp;doses_results!$J$2:$J$400&amp;doses_results!$I$2:$I$400,doses_results!$L$2:$L$400,"",0)</f>
        <v>-2.65[-3.00,-2.29]</v>
      </c>
      <c r="D7" s="2" t="str" cm="1">
        <f t="array" ref="D7">_xlfn.XLOOKUP($A7&amp;D$3&amp;$C$2&amp;$A$1,doses_results!$C$2:$C$400&amp;doses_results!$K$2:$K$400&amp;doses_results!$J$2:$J$400&amp;doses_results!$I$2:$I$400,doses_results!$L$2:$L$400,"",0)</f>
        <v>-2.65[-3.01,-2.29]</v>
      </c>
      <c r="E7" s="2" t="str" cm="1">
        <f t="array" ref="E7">_xlfn.XLOOKUP($A7&amp;E$3&amp;$C$2&amp;$A$1,doses_results!$C$2:$C$400&amp;doses_results!$K$2:$K$400&amp;doses_results!$J$2:$J$400&amp;doses_results!$I$2:$I$400,doses_results!$L$2:$L$400,"",0)</f>
        <v/>
      </c>
      <c r="F7" s="2" t="str" cm="1">
        <f t="array" ref="F7">_xlfn.XLOOKUP($A7&amp;F$3&amp;$F$2&amp;$A$1,doses_results!$C$2:$C$400&amp;doses_results!$K$2:$K$400&amp;doses_results!$J$2:$J$400&amp;doses_results!$I$2:$I$400,doses_results!$L$2:$L$400,"",0)</f>
        <v>-2.89[-3.20,-2.59]</v>
      </c>
      <c r="G7" s="2" t="str" cm="1">
        <f t="array" ref="G7">_xlfn.XLOOKUP($A7&amp;G$3&amp;$F$2&amp;$A$1,doses_results!$C$2:$C$400&amp;doses_results!$K$2:$K$400&amp;doses_results!$J$2:$J$400&amp;doses_results!$I$2:$I$400,doses_results!$L$2:$L$400,"",0)</f>
        <v>-2.87[-3.18,-2.57]</v>
      </c>
      <c r="H7" s="2" t="str" cm="1">
        <f t="array" ref="H7">_xlfn.XLOOKUP($A7&amp;H$3&amp;$C$2&amp;$A$1,doses_results!$C$2:$C$400&amp;doses_results!$K$2:$K$400&amp;doses_results!$J$2:$J$400&amp;doses_results!$I$2:$I$400,doses_results!$L$2:$L$400,"",0)</f>
        <v/>
      </c>
      <c r="I7" s="2" t="str" cm="1">
        <f t="array" ref="I7">_xlfn.XLOOKUP($A7&amp;I$3&amp;$I$2&amp;$A$1,doses_results!$C$2:$C$400&amp;doses_results!$K$2:$K$400&amp;doses_results!$J$2:$J$400&amp;doses_results!$I$2:$I$400,doses_results!$L$2:$L$400,"",0)</f>
        <v>-2.85[-3.15,-2.55]</v>
      </c>
      <c r="J7" s="2" t="str" cm="1">
        <f t="array" ref="J7">_xlfn.XLOOKUP($A7&amp;J$3&amp;$I$2&amp;$A$1,doses_results!$C$2:$C$400&amp;doses_results!$K$2:$K$400&amp;doses_results!$J$2:$J$400&amp;doses_results!$I$2:$I$400,doses_results!$L$2:$L$400,"",0)</f>
        <v>-2.57[-2.89,-2.26]</v>
      </c>
      <c r="O7" s="1"/>
    </row>
    <row r="8" spans="1:15" x14ac:dyDescent="0.25">
      <c r="A8" t="s">
        <v>18</v>
      </c>
      <c r="B8" t="s">
        <v>118</v>
      </c>
      <c r="C8" t="str" cm="1">
        <f t="array" ref="C8">_xlfn.XLOOKUP($A8&amp;C$3&amp;$C$2&amp;$A$1,doses_results!$C$2:$C$400&amp;doses_results!$K$2:$K$400&amp;doses_results!$J$2:$J$400&amp;doses_results!$I$2:$I$400,doses_results!$L$2:$L$400,"",0)</f>
        <v>-0.26[-0.57,0.05]</v>
      </c>
      <c r="D8" t="str" cm="1">
        <f t="array" ref="D8">_xlfn.XLOOKUP($A8&amp;D$3&amp;$C$2&amp;$A$1,doses_results!$C$2:$C$400&amp;doses_results!$K$2:$K$400&amp;doses_results!$J$2:$J$400&amp;doses_results!$I$2:$I$400,doses_results!$L$2:$L$400,"",0)</f>
        <v>-0.25[-0.56,0.06]</v>
      </c>
      <c r="E8" t="str" cm="1">
        <f t="array" ref="E8">_xlfn.XLOOKUP($A8&amp;E$3&amp;$C$2&amp;$A$1,doses_results!$C$2:$C$400&amp;doses_results!$K$2:$K$400&amp;doses_results!$J$2:$J$400&amp;doses_results!$I$2:$I$400,doses_results!$L$2:$L$400,"",0)</f>
        <v/>
      </c>
      <c r="F8" t="str" cm="1">
        <f t="array" ref="F8">_xlfn.XLOOKUP($A8&amp;F$3&amp;$F$2&amp;$A$1,doses_results!$C$2:$C$400&amp;doses_results!$K$2:$K$400&amp;doses_results!$J$2:$J$400&amp;doses_results!$I$2:$I$400,doses_results!$L$2:$L$400,"",0)</f>
        <v/>
      </c>
      <c r="G8" t="str" cm="1">
        <f t="array" ref="G8">_xlfn.XLOOKUP($A8&amp;G$3&amp;$F$2&amp;$A$1,doses_results!$C$2:$C$400&amp;doses_results!$K$2:$K$400&amp;doses_results!$J$2:$J$400&amp;doses_results!$I$2:$I$400,doses_results!$L$2:$L$400,"",0)</f>
        <v/>
      </c>
      <c r="H8" t="str" cm="1">
        <f t="array" ref="H8">_xlfn.XLOOKUP($A8&amp;H$3&amp;$C$2&amp;$A$1,doses_results!$C$2:$C$400&amp;doses_results!$K$2:$K$400&amp;doses_results!$J$2:$J$400&amp;doses_results!$I$2:$I$400,doses_results!$L$2:$L$400,"",0)</f>
        <v/>
      </c>
      <c r="I8" t="str" cm="1">
        <f t="array" ref="I8">_xlfn.XLOOKUP($A8&amp;I$3&amp;$I$2&amp;$A$1,doses_results!$C$2:$C$400&amp;doses_results!$K$2:$K$400&amp;doses_results!$J$2:$J$400&amp;doses_results!$I$2:$I$400,doses_results!$L$2:$L$400,"",0)</f>
        <v/>
      </c>
      <c r="J8" t="str" cm="1">
        <f t="array" ref="J8">_xlfn.XLOOKUP($A8&amp;J$3&amp;$I$2&amp;$A$1,doses_results!$C$2:$C$400&amp;doses_results!$K$2:$K$400&amp;doses_results!$J$2:$J$400&amp;doses_results!$I$2:$I$400,doses_results!$L$2:$L$400,"",0)</f>
        <v/>
      </c>
      <c r="O8" s="1"/>
    </row>
    <row r="9" spans="1:15" x14ac:dyDescent="0.25">
      <c r="A9" s="2" t="s">
        <v>19</v>
      </c>
      <c r="B9" s="2" t="s">
        <v>117</v>
      </c>
      <c r="C9" s="2" t="str" cm="1">
        <f t="array" ref="C9">_xlfn.XLOOKUP($A9&amp;C$3&amp;$C$2&amp;$A$1,doses_results!$C$2:$C$400&amp;doses_results!$K$2:$K$400&amp;doses_results!$J$2:$J$400&amp;doses_results!$I$2:$I$400,doses_results!$L$2:$L$400,"",0)</f>
        <v>-0.56[-0.86,-0.26]</v>
      </c>
      <c r="D9" s="2" t="str" cm="1">
        <f t="array" ref="D9">_xlfn.XLOOKUP($A9&amp;D$3&amp;$C$2&amp;$A$1,doses_results!$C$2:$C$400&amp;doses_results!$K$2:$K$400&amp;doses_results!$J$2:$J$400&amp;doses_results!$I$2:$I$400,doses_results!$L$2:$L$400,"",0)</f>
        <v>-0.55[-0.84,-0.25]</v>
      </c>
      <c r="E9" s="2" t="str" cm="1">
        <f t="array" ref="E9">_xlfn.XLOOKUP($A9&amp;E$3&amp;$C$2&amp;$A$1,doses_results!$C$2:$C$400&amp;doses_results!$K$2:$K$400&amp;doses_results!$J$2:$J$400&amp;doses_results!$I$2:$I$400,doses_results!$L$2:$L$400,"",0)</f>
        <v/>
      </c>
      <c r="F9" s="2" t="str" cm="1">
        <f t="array" ref="F9">_xlfn.XLOOKUP($A9&amp;F$3&amp;$F$2&amp;$A$1,doses_results!$C$2:$C$400&amp;doses_results!$K$2:$K$400&amp;doses_results!$J$2:$J$400&amp;doses_results!$I$2:$I$400,doses_results!$L$2:$L$400,"",0)</f>
        <v>-0.84[-1.11,-0.56]</v>
      </c>
      <c r="G9" s="2" t="str" cm="1">
        <f t="array" ref="G9">_xlfn.XLOOKUP($A9&amp;G$3&amp;$F$2&amp;$A$1,doses_results!$C$2:$C$400&amp;doses_results!$K$2:$K$400&amp;doses_results!$J$2:$J$400&amp;doses_results!$I$2:$I$400,doses_results!$L$2:$L$400,"",0)</f>
        <v>-0.83[-1.10,-0.55]</v>
      </c>
      <c r="H9" s="2" t="str" cm="1">
        <f t="array" ref="H9">_xlfn.XLOOKUP($A9&amp;H$3&amp;$C$2&amp;$A$1,doses_results!$C$2:$C$400&amp;doses_results!$K$2:$K$400&amp;doses_results!$J$2:$J$400&amp;doses_results!$I$2:$I$400,doses_results!$L$2:$L$400,"",0)</f>
        <v/>
      </c>
      <c r="I9" s="2" t="str" cm="1">
        <f t="array" ref="I9">_xlfn.XLOOKUP($A9&amp;I$3&amp;$I$2&amp;$A$1,doses_results!$C$2:$C$400&amp;doses_results!$K$2:$K$400&amp;doses_results!$J$2:$J$400&amp;doses_results!$I$2:$I$400,doses_results!$L$2:$L$400,"",0)</f>
        <v>-0.79[-1.05,-0.53]</v>
      </c>
      <c r="J9" s="2" t="str" cm="1">
        <f t="array" ref="J9">_xlfn.XLOOKUP($A9&amp;J$3&amp;$I$2&amp;$A$1,doses_results!$C$2:$C$400&amp;doses_results!$K$2:$K$400&amp;doses_results!$J$2:$J$400&amp;doses_results!$I$2:$I$400,doses_results!$L$2:$L$400,"",0)</f>
        <v>-0.76[-1.00,-0.51]</v>
      </c>
      <c r="O9" s="1"/>
    </row>
    <row r="10" spans="1:15" x14ac:dyDescent="0.25">
      <c r="A10" s="2" t="s">
        <v>20</v>
      </c>
      <c r="B10" s="2" t="s">
        <v>137</v>
      </c>
      <c r="C10" s="2" t="str" cm="1">
        <f t="array" ref="C10">_xlfn.XLOOKUP($A10&amp;C$3&amp;$C$2&amp;$A$1,doses_results!$C$2:$C$400&amp;doses_results!$K$2:$K$400&amp;doses_results!$J$2:$J$400&amp;doses_results!$I$2:$I$400,doses_results!$L$2:$L$400,"",0)</f>
        <v>-0.73[-1.16,-0.29]</v>
      </c>
      <c r="D10" s="2" t="str" cm="1">
        <f t="array" ref="D10">_xlfn.XLOOKUP($A10&amp;D$3&amp;$C$2&amp;$A$1,doses_results!$C$2:$C$400&amp;doses_results!$K$2:$K$400&amp;doses_results!$J$2:$J$400&amp;doses_results!$I$2:$I$400,doses_results!$L$2:$L$400,"",0)</f>
        <v>-0.74[-1.17,-0.30]</v>
      </c>
      <c r="E10" s="2" t="str" cm="1">
        <f t="array" ref="E10">_xlfn.XLOOKUP($A10&amp;E$3&amp;$C$2&amp;$A$1,doses_results!$C$2:$C$400&amp;doses_results!$K$2:$K$400&amp;doses_results!$J$2:$J$400&amp;doses_results!$I$2:$I$400,doses_results!$L$2:$L$400,"",0)</f>
        <v/>
      </c>
      <c r="F10" s="2" t="str" cm="1">
        <f t="array" ref="F10">_xlfn.XLOOKUP($A10&amp;F$3&amp;$F$2&amp;$A$1,doses_results!$C$2:$C$400&amp;doses_results!$K$2:$K$400&amp;doses_results!$J$2:$J$400&amp;doses_results!$I$2:$I$400,doses_results!$L$2:$L$400,"",0)</f>
        <v>-1.31[-1.66,-0.96]</v>
      </c>
      <c r="G10" s="2" t="str" cm="1">
        <f t="array" ref="G10">_xlfn.XLOOKUP($A10&amp;G$3&amp;$F$2&amp;$A$1,doses_results!$C$2:$C$400&amp;doses_results!$K$2:$K$400&amp;doses_results!$J$2:$J$400&amp;doses_results!$I$2:$I$400,doses_results!$L$2:$L$400,"",0)</f>
        <v>-1.29[-1.64,-0.94]</v>
      </c>
      <c r="H10" s="2" t="str" cm="1">
        <f t="array" ref="H10">_xlfn.XLOOKUP($A10&amp;H$3&amp;$C$2&amp;$A$1,doses_results!$C$2:$C$400&amp;doses_results!$K$2:$K$400&amp;doses_results!$J$2:$J$400&amp;doses_results!$I$2:$I$400,doses_results!$L$2:$L$400,"",0)</f>
        <v/>
      </c>
      <c r="I10" s="2" t="str" cm="1">
        <f t="array" ref="I10">_xlfn.XLOOKUP($A10&amp;I$3&amp;$I$2&amp;$A$1,doses_results!$C$2:$C$400&amp;doses_results!$K$2:$K$400&amp;doses_results!$J$2:$J$400&amp;doses_results!$I$2:$I$400,doses_results!$L$2:$L$400,"",0)</f>
        <v>-1.34[-1.69,-1.00]</v>
      </c>
      <c r="J10" s="2" t="str" cm="1">
        <f t="array" ref="J10">_xlfn.XLOOKUP($A10&amp;J$3&amp;$I$2&amp;$A$1,doses_results!$C$2:$C$400&amp;doses_results!$K$2:$K$400&amp;doses_results!$J$2:$J$400&amp;doses_results!$I$2:$I$400,doses_results!$L$2:$L$400,"",0)</f>
        <v>-1.07[-1.39,-0.75]</v>
      </c>
      <c r="O10" s="1"/>
    </row>
    <row r="11" spans="1:15" x14ac:dyDescent="0.25">
      <c r="A11" t="s">
        <v>21</v>
      </c>
      <c r="B11" t="s">
        <v>119</v>
      </c>
      <c r="C11" t="str" cm="1">
        <f t="array" ref="C11">_xlfn.XLOOKUP($A11&amp;C$3&amp;$C$2&amp;$A$1,doses_results!$C$2:$C$400&amp;doses_results!$K$2:$K$400&amp;doses_results!$J$2:$J$400&amp;doses_results!$I$2:$I$400,doses_results!$L$2:$L$400,"",0)</f>
        <v>-0.02[-0.43,0.39]</v>
      </c>
      <c r="D11" t="str" cm="1">
        <f t="array" ref="D11">_xlfn.XLOOKUP($A11&amp;D$3&amp;$C$2&amp;$A$1,doses_results!$C$2:$C$400&amp;doses_results!$K$2:$K$400&amp;doses_results!$J$2:$J$400&amp;doses_results!$I$2:$I$400,doses_results!$L$2:$L$400,"",0)</f>
        <v>-0.03[-0.45,0.38]</v>
      </c>
      <c r="E11" t="str" cm="1">
        <f t="array" ref="E11">_xlfn.XLOOKUP($A11&amp;E$3&amp;$C$2&amp;$A$1,doses_results!$C$2:$C$400&amp;doses_results!$K$2:$K$400&amp;doses_results!$J$2:$J$400&amp;doses_results!$I$2:$I$400,doses_results!$L$2:$L$400,"",0)</f>
        <v/>
      </c>
      <c r="F11" t="str" cm="1">
        <f t="array" ref="F11">_xlfn.XLOOKUP($A11&amp;F$3&amp;$F$2&amp;$A$1,doses_results!$C$2:$C$400&amp;doses_results!$K$2:$K$400&amp;doses_results!$J$2:$J$400&amp;doses_results!$I$2:$I$400,doses_results!$L$2:$L$400,"",0)</f>
        <v/>
      </c>
      <c r="G11" t="str" cm="1">
        <f t="array" ref="G11">_xlfn.XLOOKUP($A11&amp;G$3&amp;$F$2&amp;$A$1,doses_results!$C$2:$C$400&amp;doses_results!$K$2:$K$400&amp;doses_results!$J$2:$J$400&amp;doses_results!$I$2:$I$400,doses_results!$L$2:$L$400,"",0)</f>
        <v/>
      </c>
      <c r="H11" t="str" cm="1">
        <f t="array" ref="H11">_xlfn.XLOOKUP($A11&amp;H$3&amp;$C$2&amp;$A$1,doses_results!$C$2:$C$400&amp;doses_results!$K$2:$K$400&amp;doses_results!$J$2:$J$400&amp;doses_results!$I$2:$I$400,doses_results!$L$2:$L$400,"",0)</f>
        <v/>
      </c>
      <c r="I11" t="str" cm="1">
        <f t="array" ref="I11">_xlfn.XLOOKUP($A11&amp;I$3&amp;$I$2&amp;$A$1,doses_results!$C$2:$C$400&amp;doses_results!$K$2:$K$400&amp;doses_results!$J$2:$J$400&amp;doses_results!$I$2:$I$400,doses_results!$L$2:$L$400,"",0)</f>
        <v/>
      </c>
      <c r="J11" t="str" cm="1">
        <f t="array" ref="J11">_xlfn.XLOOKUP($A11&amp;J$3&amp;$I$2&amp;$A$1,doses_results!$C$2:$C$400&amp;doses_results!$K$2:$K$400&amp;doses_results!$J$2:$J$400&amp;doses_results!$I$2:$I$400,doses_results!$L$2:$L$400,"",0)</f>
        <v/>
      </c>
      <c r="O11" s="1"/>
    </row>
    <row r="12" spans="1:15" x14ac:dyDescent="0.25">
      <c r="A12" t="s">
        <v>22</v>
      </c>
      <c r="B12" t="s">
        <v>120</v>
      </c>
      <c r="C12" t="str" cm="1">
        <f t="array" ref="C12">_xlfn.XLOOKUP($A12&amp;C$3&amp;$C$2&amp;$A$1,doses_results!$C$2:$C$400&amp;doses_results!$K$2:$K$400&amp;doses_results!$J$2:$J$400&amp;doses_results!$I$2:$I$400,doses_results!$L$2:$L$400,"",0)</f>
        <v>0.11[-1.36,1.58]</v>
      </c>
      <c r="D12" t="str" cm="1">
        <f t="array" ref="D12">_xlfn.XLOOKUP($A12&amp;D$3&amp;$C$2&amp;$A$1,doses_results!$C$2:$C$400&amp;doses_results!$K$2:$K$400&amp;doses_results!$J$2:$J$400&amp;doses_results!$I$2:$I$400,doses_results!$L$2:$L$400,"",0)</f>
        <v>0.12[-1.35,1.60]</v>
      </c>
      <c r="E12" t="str" cm="1">
        <f t="array" ref="E12">_xlfn.XLOOKUP($A12&amp;E$3&amp;$C$2&amp;$A$1,doses_results!$C$2:$C$400&amp;doses_results!$K$2:$K$400&amp;doses_results!$J$2:$J$400&amp;doses_results!$I$2:$I$400,doses_results!$L$2:$L$400,"",0)</f>
        <v/>
      </c>
      <c r="F12" t="str" cm="1">
        <f t="array" ref="F12">_xlfn.XLOOKUP($A12&amp;F$3&amp;$F$2&amp;$A$1,doses_results!$C$2:$C$400&amp;doses_results!$K$2:$K$400&amp;doses_results!$J$2:$J$400&amp;doses_results!$I$2:$I$400,doses_results!$L$2:$L$400,"",0)</f>
        <v>-0.29[-1.35,0.77]</v>
      </c>
      <c r="G12" t="str" cm="1">
        <f t="array" ref="G12">_xlfn.XLOOKUP($A12&amp;G$3&amp;$F$2&amp;$A$1,doses_results!$C$2:$C$400&amp;doses_results!$K$2:$K$400&amp;doses_results!$J$2:$J$400&amp;doses_results!$I$2:$I$400,doses_results!$L$2:$L$400,"",0)</f>
        <v>-0.26[-1.32,0.80]</v>
      </c>
      <c r="H12" t="str" cm="1">
        <f t="array" ref="H12">_xlfn.XLOOKUP($A12&amp;H$3&amp;$C$2&amp;$A$1,doses_results!$C$2:$C$400&amp;doses_results!$K$2:$K$400&amp;doses_results!$J$2:$J$400&amp;doses_results!$I$2:$I$400,doses_results!$L$2:$L$400,"",0)</f>
        <v/>
      </c>
      <c r="I12" t="str" cm="1">
        <f t="array" ref="I12">_xlfn.XLOOKUP($A12&amp;I$3&amp;$I$2&amp;$A$1,doses_results!$C$2:$C$400&amp;doses_results!$K$2:$K$400&amp;doses_results!$J$2:$J$400&amp;doses_results!$I$2:$I$400,doses_results!$L$2:$L$400,"",0)</f>
        <v/>
      </c>
      <c r="J12" t="str" cm="1">
        <f t="array" ref="J12">_xlfn.XLOOKUP($A12&amp;J$3&amp;$I$2&amp;$A$1,doses_results!$C$2:$C$400&amp;doses_results!$K$2:$K$400&amp;doses_results!$J$2:$J$400&amp;doses_results!$I$2:$I$400,doses_results!$L$2:$L$400,"",0)</f>
        <v/>
      </c>
      <c r="O12" s="1"/>
    </row>
    <row r="13" spans="1:15" x14ac:dyDescent="0.25">
      <c r="A13" t="s">
        <v>23</v>
      </c>
      <c r="B13" t="s">
        <v>121</v>
      </c>
      <c r="C13" t="str" cm="1">
        <f t="array" ref="C13">_xlfn.XLOOKUP($A13&amp;C$3&amp;$C$2&amp;$A$1,doses_results!$C$2:$C$400&amp;doses_results!$K$2:$K$400&amp;doses_results!$J$2:$J$400&amp;doses_results!$I$2:$I$400,doses_results!$L$2:$L$400,"",0)</f>
        <v>0.76[-0.15,1.68]</v>
      </c>
      <c r="D13" t="str" cm="1">
        <f t="array" ref="D13">_xlfn.XLOOKUP($A13&amp;D$3&amp;$C$2&amp;$A$1,doses_results!$C$2:$C$400&amp;doses_results!$K$2:$K$400&amp;doses_results!$J$2:$J$400&amp;doses_results!$I$2:$I$400,doses_results!$L$2:$L$400,"",0)</f>
        <v>0.81[-0.12,1.75]</v>
      </c>
      <c r="E13" t="str" cm="1">
        <f t="array" ref="E13">_xlfn.XLOOKUP($A13&amp;E$3&amp;$C$2&amp;$A$1,doses_results!$C$2:$C$400&amp;doses_results!$K$2:$K$400&amp;doses_results!$J$2:$J$400&amp;doses_results!$I$2:$I$400,doses_results!$L$2:$L$400,"",0)</f>
        <v/>
      </c>
      <c r="F13" t="str" cm="1">
        <f t="array" ref="F13">_xlfn.XLOOKUP($A13&amp;F$3&amp;$F$2&amp;$A$1,doses_results!$C$2:$C$400&amp;doses_results!$K$2:$K$400&amp;doses_results!$J$2:$J$400&amp;doses_results!$I$2:$I$400,doses_results!$L$2:$L$400,"",0)</f>
        <v>-1.20[-2.30,-0.10]</v>
      </c>
      <c r="G13" t="str" cm="1">
        <f t="array" ref="G13">_xlfn.XLOOKUP($A13&amp;G$3&amp;$F$2&amp;$A$1,doses_results!$C$2:$C$400&amp;doses_results!$K$2:$K$400&amp;doses_results!$J$2:$J$400&amp;doses_results!$I$2:$I$400,doses_results!$L$2:$L$400,"",0)</f>
        <v>-1.17[-2.29,-0.06]</v>
      </c>
      <c r="H13" t="str" cm="1">
        <f t="array" ref="H13">_xlfn.XLOOKUP($A13&amp;H$3&amp;$C$2&amp;$A$1,doses_results!$C$2:$C$400&amp;doses_results!$K$2:$K$400&amp;doses_results!$J$2:$J$400&amp;doses_results!$I$2:$I$400,doses_results!$L$2:$L$400,"",0)</f>
        <v/>
      </c>
      <c r="I13" t="str" cm="1">
        <f t="array" ref="I13">_xlfn.XLOOKUP($A13&amp;I$3&amp;$I$2&amp;$A$1,doses_results!$C$2:$C$400&amp;doses_results!$K$2:$K$400&amp;doses_results!$J$2:$J$400&amp;doses_results!$I$2:$I$400,doses_results!$L$2:$L$400,"",0)</f>
        <v>-1.58[-2.37,-0.80]</v>
      </c>
      <c r="J13" t="str" cm="1">
        <f t="array" ref="J13">_xlfn.XLOOKUP($A13&amp;J$3&amp;$I$2&amp;$A$1,doses_results!$C$2:$C$400&amp;doses_results!$K$2:$K$400&amp;doses_results!$J$2:$J$400&amp;doses_results!$I$2:$I$400,doses_results!$L$2:$L$400,"",0)</f>
        <v/>
      </c>
      <c r="O13" s="1"/>
    </row>
    <row r="14" spans="1:15" x14ac:dyDescent="0.25">
      <c r="A14" t="s">
        <v>24</v>
      </c>
      <c r="B14" t="s">
        <v>122</v>
      </c>
      <c r="C14" t="str" cm="1">
        <f t="array" ref="C14">_xlfn.XLOOKUP($A14&amp;C$3&amp;$C$2&amp;$A$1,doses_results!$C$2:$C$400&amp;doses_results!$K$2:$K$400&amp;doses_results!$J$2:$J$400&amp;doses_results!$I$2:$I$400,doses_results!$L$2:$L$400,"",0)</f>
        <v>-1.49[-2.15,-0.84]</v>
      </c>
      <c r="D14" t="str" cm="1">
        <f t="array" ref="D14">_xlfn.XLOOKUP($A14&amp;D$3&amp;$C$2&amp;$A$1,doses_results!$C$2:$C$400&amp;doses_results!$K$2:$K$400&amp;doses_results!$J$2:$J$400&amp;doses_results!$I$2:$I$400,doses_results!$L$2:$L$400,"",0)</f>
        <v>-1.46[-2.14,-0.79]</v>
      </c>
      <c r="E14" t="str" cm="1">
        <f t="array" ref="E14">_xlfn.XLOOKUP($A14&amp;E$3&amp;$C$2&amp;$A$1,doses_results!$C$2:$C$400&amp;doses_results!$K$2:$K$400&amp;doses_results!$J$2:$J$400&amp;doses_results!$I$2:$I$400,doses_results!$L$2:$L$400,"",0)</f>
        <v/>
      </c>
      <c r="F14" t="str" cm="1">
        <f t="array" ref="F14">_xlfn.XLOOKUP($A14&amp;F$3&amp;$F$2&amp;$A$1,doses_results!$C$2:$C$400&amp;doses_results!$K$2:$K$400&amp;doses_results!$J$2:$J$400&amp;doses_results!$I$2:$I$400,doses_results!$L$2:$L$400,"",0)</f>
        <v>-0.42[-1.23,0.40]</v>
      </c>
      <c r="G14" t="str" cm="1">
        <f t="array" ref="G14">_xlfn.XLOOKUP($A14&amp;G$3&amp;$F$2&amp;$A$1,doses_results!$C$2:$C$400&amp;doses_results!$K$2:$K$400&amp;doses_results!$J$2:$J$400&amp;doses_results!$I$2:$I$400,doses_results!$L$2:$L$400,"",0)</f>
        <v>-0.46[-1.30,0.38]</v>
      </c>
      <c r="H14" t="str" cm="1">
        <f t="array" ref="H14">_xlfn.XLOOKUP($A14&amp;H$3&amp;$C$2&amp;$A$1,doses_results!$C$2:$C$400&amp;doses_results!$K$2:$K$400&amp;doses_results!$J$2:$J$400&amp;doses_results!$I$2:$I$400,doses_results!$L$2:$L$400,"",0)</f>
        <v/>
      </c>
      <c r="I14" t="str" cm="1">
        <f t="array" ref="I14">_xlfn.XLOOKUP($A14&amp;I$3&amp;$I$2&amp;$A$1,doses_results!$C$2:$C$400&amp;doses_results!$K$2:$K$400&amp;doses_results!$J$2:$J$400&amp;doses_results!$I$2:$I$400,doses_results!$L$2:$L$400,"",0)</f>
        <v/>
      </c>
      <c r="J14" t="str" cm="1">
        <f t="array" ref="J14">_xlfn.XLOOKUP($A14&amp;J$3&amp;$I$2&amp;$A$1,doses_results!$C$2:$C$400&amp;doses_results!$K$2:$K$400&amp;doses_results!$J$2:$J$400&amp;doses_results!$I$2:$I$400,doses_results!$L$2:$L$400,"",0)</f>
        <v/>
      </c>
      <c r="O14" s="1"/>
    </row>
    <row r="15" spans="1:15" x14ac:dyDescent="0.25">
      <c r="A15" t="s">
        <v>25</v>
      </c>
      <c r="B15" t="s">
        <v>123</v>
      </c>
      <c r="C15" t="str" cm="1">
        <f t="array" ref="C15">_xlfn.XLOOKUP($A15&amp;C$3&amp;$C$2&amp;$A$1,doses_results!$C$2:$C$400&amp;doses_results!$K$2:$K$400&amp;doses_results!$J$2:$J$400&amp;doses_results!$I$2:$I$400,doses_results!$L$2:$L$400,"",0)</f>
        <v>-0.24[-0.57,0.09]</v>
      </c>
      <c r="D15" t="str" cm="1">
        <f t="array" ref="D15">_xlfn.XLOOKUP($A15&amp;D$3&amp;$C$2&amp;$A$1,doses_results!$C$2:$C$400&amp;doses_results!$K$2:$K$400&amp;doses_results!$J$2:$J$400&amp;doses_results!$I$2:$I$400,doses_results!$L$2:$L$400,"",0)</f>
        <v>-0.23[-0.56,0.11]</v>
      </c>
      <c r="E15" t="str" cm="1">
        <f t="array" ref="E15">_xlfn.XLOOKUP($A15&amp;E$3&amp;$C$2&amp;$A$1,doses_results!$C$2:$C$400&amp;doses_results!$K$2:$K$400&amp;doses_results!$J$2:$J$400&amp;doses_results!$I$2:$I$400,doses_results!$L$2:$L$400,"",0)</f>
        <v/>
      </c>
      <c r="F15" t="str" cm="1">
        <f t="array" ref="F15">_xlfn.XLOOKUP($A15&amp;F$3&amp;$F$2&amp;$A$1,doses_results!$C$2:$C$400&amp;doses_results!$K$2:$K$400&amp;doses_results!$J$2:$J$400&amp;doses_results!$I$2:$I$400,doses_results!$L$2:$L$400,"",0)</f>
        <v/>
      </c>
      <c r="G15" t="str" cm="1">
        <f t="array" ref="G15">_xlfn.XLOOKUP($A15&amp;G$3&amp;$F$2&amp;$A$1,doses_results!$C$2:$C$400&amp;doses_results!$K$2:$K$400&amp;doses_results!$J$2:$J$400&amp;doses_results!$I$2:$I$400,doses_results!$L$2:$L$400,"",0)</f>
        <v/>
      </c>
      <c r="H15" t="str" cm="1">
        <f t="array" ref="H15">_xlfn.XLOOKUP($A15&amp;H$3&amp;$C$2&amp;$A$1,doses_results!$C$2:$C$400&amp;doses_results!$K$2:$K$400&amp;doses_results!$J$2:$J$400&amp;doses_results!$I$2:$I$400,doses_results!$L$2:$L$400,"",0)</f>
        <v/>
      </c>
      <c r="I15" t="str" cm="1">
        <f t="array" ref="I15">_xlfn.XLOOKUP($A15&amp;I$3&amp;$I$2&amp;$A$1,doses_results!$C$2:$C$400&amp;doses_results!$K$2:$K$400&amp;doses_results!$J$2:$J$400&amp;doses_results!$I$2:$I$400,doses_results!$L$2:$L$400,"",0)</f>
        <v/>
      </c>
      <c r="J15" t="str" cm="1">
        <f t="array" ref="J15">_xlfn.XLOOKUP($A15&amp;J$3&amp;$I$2&amp;$A$1,doses_results!$C$2:$C$400&amp;doses_results!$K$2:$K$400&amp;doses_results!$J$2:$J$400&amp;doses_results!$I$2:$I$400,doses_results!$L$2:$L$400,"",0)</f>
        <v/>
      </c>
      <c r="O15" s="1"/>
    </row>
    <row r="16" spans="1:15" x14ac:dyDescent="0.25">
      <c r="A16" t="s">
        <v>26</v>
      </c>
      <c r="B16" t="s">
        <v>119</v>
      </c>
      <c r="C16" t="str" cm="1">
        <f t="array" ref="C16">_xlfn.XLOOKUP($A16&amp;C$3&amp;$C$2&amp;$A$1,doses_results!$C$2:$C$400&amp;doses_results!$K$2:$K$400&amp;doses_results!$J$2:$J$400&amp;doses_results!$I$2:$I$400,doses_results!$L$2:$L$400,"",0)</f>
        <v>-0.36[-0.65,-0.08]</v>
      </c>
      <c r="D16" t="str" cm="1">
        <f t="array" ref="D16">_xlfn.XLOOKUP($A16&amp;D$3&amp;$C$2&amp;$A$1,doses_results!$C$2:$C$400&amp;doses_results!$K$2:$K$400&amp;doses_results!$J$2:$J$400&amp;doses_results!$I$2:$I$400,doses_results!$L$2:$L$400,"",0)</f>
        <v>-0.32[-0.79,0.15]</v>
      </c>
      <c r="E16" t="str" cm="1">
        <f t="array" ref="E16">_xlfn.XLOOKUP($A16&amp;E$3&amp;$C$2&amp;$A$1,doses_results!$C$2:$C$400&amp;doses_results!$K$2:$K$400&amp;doses_results!$J$2:$J$400&amp;doses_results!$I$2:$I$400,doses_results!$L$2:$L$400,"",0)</f>
        <v/>
      </c>
      <c r="F16" t="str" cm="1">
        <f t="array" ref="F16">_xlfn.XLOOKUP($A16&amp;F$3&amp;$F$2&amp;$A$1,doses_results!$C$2:$C$400&amp;doses_results!$K$2:$K$400&amp;doses_results!$J$2:$J$400&amp;doses_results!$I$2:$I$400,doses_results!$L$2:$L$400,"",0)</f>
        <v/>
      </c>
      <c r="G16" t="str" cm="1">
        <f t="array" ref="G16">_xlfn.XLOOKUP($A16&amp;G$3&amp;$F$2&amp;$A$1,doses_results!$C$2:$C$400&amp;doses_results!$K$2:$K$400&amp;doses_results!$J$2:$J$400&amp;doses_results!$I$2:$I$400,doses_results!$L$2:$L$400,"",0)</f>
        <v/>
      </c>
      <c r="H16" t="str" cm="1">
        <f t="array" ref="H16">_xlfn.XLOOKUP($A16&amp;H$3&amp;$C$2&amp;$A$1,doses_results!$C$2:$C$400&amp;doses_results!$K$2:$K$400&amp;doses_results!$J$2:$J$400&amp;doses_results!$I$2:$I$400,doses_results!$L$2:$L$400,"",0)</f>
        <v/>
      </c>
      <c r="I16" t="str" cm="1">
        <f t="array" ref="I16">_xlfn.XLOOKUP($A16&amp;I$3&amp;$I$2&amp;$A$1,doses_results!$C$2:$C$400&amp;doses_results!$K$2:$K$400&amp;doses_results!$J$2:$J$400&amp;doses_results!$I$2:$I$400,doses_results!$L$2:$L$400,"",0)</f>
        <v/>
      </c>
      <c r="J16" t="str" cm="1">
        <f t="array" ref="J16">_xlfn.XLOOKUP($A16&amp;J$3&amp;$I$2&amp;$A$1,doses_results!$C$2:$C$400&amp;doses_results!$K$2:$K$400&amp;doses_results!$J$2:$J$400&amp;doses_results!$I$2:$I$400,doses_results!$L$2:$L$400,"",0)</f>
        <v/>
      </c>
      <c r="O16" s="1"/>
    </row>
    <row r="17" spans="1:15" x14ac:dyDescent="0.25">
      <c r="A17" s="2" t="s">
        <v>27</v>
      </c>
      <c r="B17" s="2" t="s">
        <v>124</v>
      </c>
      <c r="C17" s="2" t="str" cm="1">
        <f t="array" ref="C17">_xlfn.XLOOKUP($A17&amp;C$3&amp;$C$2&amp;$A$1,doses_results!$C$2:$C$400&amp;doses_results!$K$2:$K$400&amp;doses_results!$J$2:$J$400&amp;doses_results!$I$2:$I$400,doses_results!$L$2:$L$400,"",0)</f>
        <v>-0.48[-0.79,-0.17]</v>
      </c>
      <c r="D17" s="2" t="str" cm="1">
        <f t="array" ref="D17">_xlfn.XLOOKUP($A17&amp;D$3&amp;$C$2&amp;$A$1,doses_results!$C$2:$C$400&amp;doses_results!$K$2:$K$400&amp;doses_results!$J$2:$J$400&amp;doses_results!$I$2:$I$400,doses_results!$L$2:$L$400,"",0)</f>
        <v>-0.46[-0.78,-0.15]</v>
      </c>
      <c r="E17" s="2" t="str" cm="1">
        <f t="array" ref="E17">_xlfn.XLOOKUP($A17&amp;E$3&amp;$C$2&amp;$A$1,doses_results!$C$2:$C$400&amp;doses_results!$K$2:$K$400&amp;doses_results!$J$2:$J$400&amp;doses_results!$I$2:$I$400,doses_results!$L$2:$L$400,"",0)</f>
        <v/>
      </c>
      <c r="F17" s="2" t="str" cm="1">
        <f t="array" ref="F17">_xlfn.XLOOKUP($A17&amp;F$3&amp;$F$2&amp;$A$1,doses_results!$C$2:$C$400&amp;doses_results!$K$2:$K$400&amp;doses_results!$J$2:$J$400&amp;doses_results!$I$2:$I$400,doses_results!$L$2:$L$400,"",0)</f>
        <v>-0.30[-0.59,-0.01]</v>
      </c>
      <c r="G17" s="2" t="str" cm="1">
        <f t="array" ref="G17">_xlfn.XLOOKUP($A17&amp;G$3&amp;$F$2&amp;$A$1,doses_results!$C$2:$C$400&amp;doses_results!$K$2:$K$400&amp;doses_results!$J$2:$J$400&amp;doses_results!$I$2:$I$400,doses_results!$L$2:$L$400,"",0)</f>
        <v>-0.30[-0.59,-0.01]</v>
      </c>
      <c r="H17" s="2" t="str" cm="1">
        <f t="array" ref="H17">_xlfn.XLOOKUP($A17&amp;H$3&amp;$C$2&amp;$A$1,doses_results!$C$2:$C$400&amp;doses_results!$K$2:$K$400&amp;doses_results!$J$2:$J$400&amp;doses_results!$I$2:$I$400,doses_results!$L$2:$L$400,"",0)</f>
        <v/>
      </c>
      <c r="I17" s="2" t="str" cm="1">
        <f t="array" ref="I17">_xlfn.XLOOKUP($A17&amp;I$3&amp;$I$2&amp;$A$1,doses_results!$C$2:$C$400&amp;doses_results!$K$2:$K$400&amp;doses_results!$J$2:$J$400&amp;doses_results!$I$2:$I$400,doses_results!$L$2:$L$400,"",0)</f>
        <v>-0.98[-1.69,-0.26]</v>
      </c>
      <c r="J17" s="2" t="str" cm="1">
        <f t="array" ref="J17">_xlfn.XLOOKUP($A17&amp;J$3&amp;$I$2&amp;$A$1,doses_results!$C$2:$C$400&amp;doses_results!$K$2:$K$400&amp;doses_results!$J$2:$J$400&amp;doses_results!$I$2:$I$400,doses_results!$L$2:$L$400,"",0)</f>
        <v>-2.89[-4.43,-1.35]</v>
      </c>
      <c r="O17" s="1"/>
    </row>
    <row r="18" spans="1:15" x14ac:dyDescent="0.25">
      <c r="A18" t="s">
        <v>28</v>
      </c>
      <c r="B18" t="s">
        <v>125</v>
      </c>
      <c r="C18" t="str" cm="1">
        <f t="array" ref="C18">_xlfn.XLOOKUP($A18&amp;C$3&amp;$C$2&amp;$A$1,doses_results!$C$2:$C$400&amp;doses_results!$K$2:$K$400&amp;doses_results!$J$2:$J$400&amp;doses_results!$I$2:$I$400,doses_results!$L$2:$L$400,"",0)</f>
        <v>-0.25[-0.54,0.04]</v>
      </c>
      <c r="D18" t="str" cm="1">
        <f t="array" ref="D18">_xlfn.XLOOKUP($A18&amp;D$3&amp;$C$2&amp;$A$1,doses_results!$C$2:$C$400&amp;doses_results!$K$2:$K$400&amp;doses_results!$J$2:$J$400&amp;doses_results!$I$2:$I$400,doses_results!$L$2:$L$400,"",0)</f>
        <v>-0.27[-0.56,0.02]</v>
      </c>
      <c r="E18" t="str" cm="1">
        <f t="array" ref="E18">_xlfn.XLOOKUP($A18&amp;E$3&amp;$C$2&amp;$A$1,doses_results!$C$2:$C$400&amp;doses_results!$K$2:$K$400&amp;doses_results!$J$2:$J$400&amp;doses_results!$I$2:$I$400,doses_results!$L$2:$L$400,"",0)</f>
        <v/>
      </c>
      <c r="F18" t="str" cm="1">
        <f t="array" ref="F18">_xlfn.XLOOKUP($A18&amp;F$3&amp;$F$2&amp;$A$1,doses_results!$C$2:$C$400&amp;doses_results!$K$2:$K$400&amp;doses_results!$J$2:$J$400&amp;doses_results!$I$2:$I$400,doses_results!$L$2:$L$400,"",0)</f>
        <v/>
      </c>
      <c r="G18" t="str" cm="1">
        <f t="array" ref="G18">_xlfn.XLOOKUP($A18&amp;G$3&amp;$F$2&amp;$A$1,doses_results!$C$2:$C$400&amp;doses_results!$K$2:$K$400&amp;doses_results!$J$2:$J$400&amp;doses_results!$I$2:$I$400,doses_results!$L$2:$L$400,"",0)</f>
        <v/>
      </c>
      <c r="H18" t="str" cm="1">
        <f t="array" ref="H18">_xlfn.XLOOKUP($A18&amp;H$3&amp;$C$2&amp;$A$1,doses_results!$C$2:$C$400&amp;doses_results!$K$2:$K$400&amp;doses_results!$J$2:$J$400&amp;doses_results!$I$2:$I$400,doses_results!$L$2:$L$400,"",0)</f>
        <v/>
      </c>
      <c r="I18" t="str" cm="1">
        <f t="array" ref="I18">_xlfn.XLOOKUP($A18&amp;I$3&amp;$I$2&amp;$A$1,doses_results!$C$2:$C$400&amp;doses_results!$K$2:$K$400&amp;doses_results!$J$2:$J$400&amp;doses_results!$I$2:$I$400,doses_results!$L$2:$L$400,"",0)</f>
        <v/>
      </c>
      <c r="J18" t="str" cm="1">
        <f t="array" ref="J18">_xlfn.XLOOKUP($A18&amp;J$3&amp;$I$2&amp;$A$1,doses_results!$C$2:$C$400&amp;doses_results!$K$2:$K$400&amp;doses_results!$J$2:$J$400&amp;doses_results!$I$2:$I$400,doses_results!$L$2:$L$400,"",0)</f>
        <v>-0.37[-0.65,-0.10]</v>
      </c>
      <c r="O18" s="1"/>
    </row>
    <row r="19" spans="1:15" s="8" customFormat="1" x14ac:dyDescent="0.25">
      <c r="A19" s="8" t="s">
        <v>29</v>
      </c>
      <c r="B19" s="8" t="s">
        <v>126</v>
      </c>
      <c r="C19" s="8" t="str" cm="1">
        <f t="array" ref="C19">_xlfn.XLOOKUP($A19&amp;C$3&amp;$C$2&amp;$A$1,doses_results!$C$2:$C$400&amp;doses_results!$K$2:$K$400&amp;doses_results!$J$2:$J$400&amp;doses_results!$I$2:$I$400,doses_results!$L$2:$L$400,"",0)</f>
        <v>-0.62[-1.00,-0.24]</v>
      </c>
      <c r="D19" s="8" t="str" cm="1">
        <f t="array" ref="D19">_xlfn.XLOOKUP($A19&amp;D$3&amp;$C$2&amp;$A$1,doses_results!$C$2:$C$400&amp;doses_results!$K$2:$K$400&amp;doses_results!$J$2:$J$400&amp;doses_results!$I$2:$I$400,doses_results!$L$2:$L$400,"",0)</f>
        <v>-0.52[-0.92,-0.13]</v>
      </c>
      <c r="E19" s="8" t="str" cm="1">
        <f t="array" ref="E19">_xlfn.XLOOKUP($A19&amp;E$3&amp;$C$2&amp;$A$1,doses_results!$C$2:$C$400&amp;doses_results!$K$2:$K$400&amp;doses_results!$J$2:$J$400&amp;doses_results!$I$2:$I$400,doses_results!$L$2:$L$400,"",0)</f>
        <v/>
      </c>
      <c r="F19" s="8" t="str" cm="1">
        <f t="array" ref="F19">_xlfn.XLOOKUP($A19&amp;F$3&amp;$F$2&amp;$A$1,doses_results!$C$2:$C$400&amp;doses_results!$K$2:$K$400&amp;doses_results!$J$2:$J$400&amp;doses_results!$I$2:$I$400,doses_results!$L$2:$L$400,"",0)</f>
        <v>-0.42[-0.74,-0.10]</v>
      </c>
      <c r="G19" s="8" t="str" cm="1">
        <f t="array" ref="G19">_xlfn.XLOOKUP($A19&amp;G$3&amp;$F$2&amp;$A$1,doses_results!$C$2:$C$400&amp;doses_results!$K$2:$K$400&amp;doses_results!$J$2:$J$400&amp;doses_results!$I$2:$I$400,doses_results!$L$2:$L$400,"",0)</f>
        <v>-0.37[-0.72,-0.03]</v>
      </c>
      <c r="H19" s="8" t="str" cm="1">
        <f t="array" ref="H19">_xlfn.XLOOKUP($A19&amp;H$3&amp;$C$2&amp;$A$1,doses_results!$C$2:$C$400&amp;doses_results!$K$2:$K$400&amp;doses_results!$J$2:$J$400&amp;doses_results!$I$2:$I$400,doses_results!$L$2:$L$400,"",0)</f>
        <v/>
      </c>
      <c r="I19" s="8" t="str" cm="1">
        <f t="array" ref="I19">_xlfn.XLOOKUP($A19&amp;I$3&amp;$I$2&amp;$A$1,doses_results!$C$2:$C$400&amp;doses_results!$K$2:$K$400&amp;doses_results!$J$2:$J$400&amp;doses_results!$I$2:$I$400,doses_results!$L$2:$L$400,"",0)</f>
        <v>-0.70[-1.11,-0.28]</v>
      </c>
      <c r="J19" s="8" t="str" cm="1">
        <f t="array" ref="J19">_xlfn.XLOOKUP($A19&amp;J$3&amp;$I$2&amp;$A$1,doses_results!$C$2:$C$400&amp;doses_results!$K$2:$K$400&amp;doses_results!$J$2:$J$400&amp;doses_results!$I$2:$I$400,doses_results!$L$2:$L$400,"",0)</f>
        <v/>
      </c>
      <c r="O19" s="9"/>
    </row>
    <row r="20" spans="1:15" x14ac:dyDescent="0.25">
      <c r="A20" s="8" t="s">
        <v>30</v>
      </c>
      <c r="B20" s="8" t="s">
        <v>127</v>
      </c>
      <c r="C20" t="str" cm="1">
        <f t="array" ref="C20">_xlfn.XLOOKUP($A20&amp;C$3&amp;$C$2&amp;$A$1,doses_results!$C$2:$C$400&amp;doses_results!$K$2:$K$400&amp;doses_results!$J$2:$J$400&amp;doses_results!$I$2:$I$400,doses_results!$L$2:$L$400,"",0)</f>
        <v>-1.52[-3.25,0.22]</v>
      </c>
      <c r="D20" t="str" cm="1">
        <f t="array" ref="D20">_xlfn.XLOOKUP($A20&amp;D$3&amp;$C$2&amp;$A$1,doses_results!$C$2:$C$400&amp;doses_results!$K$2:$K$400&amp;doses_results!$J$2:$J$400&amp;doses_results!$I$2:$I$400,doses_results!$L$2:$L$400,"",0)</f>
        <v>-1.64[-3.37,0.10]</v>
      </c>
      <c r="E20" t="str" cm="1">
        <f t="array" ref="E20">_xlfn.XLOOKUP($A20&amp;E$3&amp;$C$2&amp;$A$1,doses_results!$C$2:$C$400&amp;doses_results!$K$2:$K$400&amp;doses_results!$J$2:$J$400&amp;doses_results!$I$2:$I$400,doses_results!$L$2:$L$400,"",0)</f>
        <v/>
      </c>
      <c r="F20" t="str" cm="1">
        <f t="array" ref="F20">_xlfn.XLOOKUP($A20&amp;F$3&amp;$F$2&amp;$A$1,doses_results!$C$2:$C$400&amp;doses_results!$K$2:$K$400&amp;doses_results!$J$2:$J$400&amp;doses_results!$I$2:$I$400,doses_results!$L$2:$L$400,"",0)</f>
        <v>-1.09[-2.18,0.00]</v>
      </c>
      <c r="G20" t="str" cm="1">
        <f t="array" ref="G20">_xlfn.XLOOKUP($A20&amp;G$3&amp;$F$2&amp;$A$1,doses_results!$C$2:$C$400&amp;doses_results!$K$2:$K$400&amp;doses_results!$J$2:$J$400&amp;doses_results!$I$2:$I$400,doses_results!$L$2:$L$400,"",0)</f>
        <v>-1.13[-2.22,-0.03]</v>
      </c>
      <c r="H20" t="str" cm="1">
        <f t="array" ref="H20">_xlfn.XLOOKUP($A20&amp;H$3&amp;$C$2&amp;$A$1,doses_results!$C$2:$C$400&amp;doses_results!$K$2:$K$400&amp;doses_results!$J$2:$J$400&amp;doses_results!$I$2:$I$400,doses_results!$L$2:$L$400,"",0)</f>
        <v/>
      </c>
      <c r="I20" t="str" cm="1">
        <f t="array" ref="I20">_xlfn.XLOOKUP($A20&amp;I$3&amp;$I$2&amp;$A$1,doses_results!$C$2:$C$400&amp;doses_results!$K$2:$K$400&amp;doses_results!$J$2:$J$400&amp;doses_results!$I$2:$I$400,doses_results!$L$2:$L$400,"",0)</f>
        <v>-1.31[-1.88,-0.74]</v>
      </c>
      <c r="J20" t="str" cm="1">
        <f t="array" ref="J20">_xlfn.XLOOKUP($A20&amp;J$3&amp;$I$2&amp;$A$1,doses_results!$C$2:$C$400&amp;doses_results!$K$2:$K$400&amp;doses_results!$J$2:$J$400&amp;doses_results!$I$2:$I$400,doses_results!$L$2:$L$400,"",0)</f>
        <v>-0.45[-1.16,0.26]</v>
      </c>
      <c r="O20" s="1"/>
    </row>
    <row r="21" spans="1:15" x14ac:dyDescent="0.25">
      <c r="A21" t="s">
        <v>31</v>
      </c>
      <c r="B21" t="s">
        <v>128</v>
      </c>
      <c r="C21" t="str" cm="1">
        <f t="array" ref="C21">_xlfn.XLOOKUP($A21&amp;C$3&amp;$C$2&amp;$A$1,doses_results!$C$2:$C$400&amp;doses_results!$K$2:$K$400&amp;doses_results!$J$2:$J$400&amp;doses_results!$I$2:$I$400,doses_results!$L$2:$L$400,"",0)</f>
        <v>1.37[-0.32,3.06]</v>
      </c>
      <c r="D21" t="str" cm="1">
        <f t="array" ref="D21">_xlfn.XLOOKUP($A21&amp;D$3&amp;$C$2&amp;$A$1,doses_results!$C$2:$C$400&amp;doses_results!$K$2:$K$400&amp;doses_results!$J$2:$J$400&amp;doses_results!$I$2:$I$400,doses_results!$L$2:$L$400,"",0)</f>
        <v>1.43[-0.26,3.12]</v>
      </c>
      <c r="E21" t="str" cm="1">
        <f t="array" ref="E21">_xlfn.XLOOKUP($A21&amp;E$3&amp;$C$2&amp;$A$1,doses_results!$C$2:$C$400&amp;doses_results!$K$2:$K$400&amp;doses_results!$J$2:$J$400&amp;doses_results!$I$2:$I$400,doses_results!$L$2:$L$400,"",0)</f>
        <v/>
      </c>
      <c r="F21" t="str" cm="1">
        <f t="array" ref="F21">_xlfn.XLOOKUP($A21&amp;F$3&amp;$F$2&amp;$A$1,doses_results!$C$2:$C$400&amp;doses_results!$K$2:$K$400&amp;doses_results!$J$2:$J$400&amp;doses_results!$I$2:$I$400,doses_results!$L$2:$L$400,"",0)</f>
        <v/>
      </c>
      <c r="G21" t="str" cm="1">
        <f t="array" ref="G21">_xlfn.XLOOKUP($A21&amp;G$3&amp;$F$2&amp;$A$1,doses_results!$C$2:$C$400&amp;doses_results!$K$2:$K$400&amp;doses_results!$J$2:$J$400&amp;doses_results!$I$2:$I$400,doses_results!$L$2:$L$400,"",0)</f>
        <v/>
      </c>
      <c r="H21" t="str" cm="1">
        <f t="array" ref="H21">_xlfn.XLOOKUP($A21&amp;H$3&amp;$C$2&amp;$A$1,doses_results!$C$2:$C$400&amp;doses_results!$K$2:$K$400&amp;doses_results!$J$2:$J$400&amp;doses_results!$I$2:$I$400,doses_results!$L$2:$L$400,"",0)</f>
        <v/>
      </c>
      <c r="I21" t="str" cm="1">
        <f t="array" ref="I21">_xlfn.XLOOKUP($A21&amp;I$3&amp;$I$2&amp;$A$1,doses_results!$C$2:$C$400&amp;doses_results!$K$2:$K$400&amp;doses_results!$J$2:$J$400&amp;doses_results!$I$2:$I$400,doses_results!$L$2:$L$400,"",0)</f>
        <v/>
      </c>
      <c r="J21" t="str" cm="1">
        <f t="array" ref="J21">_xlfn.XLOOKUP($A21&amp;J$3&amp;$I$2&amp;$A$1,doses_results!$C$2:$C$400&amp;doses_results!$K$2:$K$400&amp;doses_results!$J$2:$J$400&amp;doses_results!$I$2:$I$400,doses_results!$L$2:$L$400,"",0)</f>
        <v/>
      </c>
      <c r="O21" s="1"/>
    </row>
    <row r="22" spans="1:15" x14ac:dyDescent="0.25">
      <c r="A22" t="s">
        <v>32</v>
      </c>
      <c r="B22" t="s">
        <v>129</v>
      </c>
      <c r="C22" t="str" cm="1">
        <f t="array" ref="C22">_xlfn.XLOOKUP($A22&amp;C$3&amp;$C$2&amp;$A$1,doses_results!$C$2:$C$400&amp;doses_results!$K$2:$K$400&amp;doses_results!$J$2:$J$400&amp;doses_results!$I$2:$I$400,doses_results!$L$2:$L$400,"",0)</f>
        <v>-0.61[-1.17,-0.06]</v>
      </c>
      <c r="D22" t="str" cm="1">
        <f t="array" ref="D22">_xlfn.XLOOKUP($A22&amp;D$3&amp;$C$2&amp;$A$1,doses_results!$C$2:$C$400&amp;doses_results!$K$2:$K$400&amp;doses_results!$J$2:$J$400&amp;doses_results!$I$2:$I$400,doses_results!$L$2:$L$400,"",0)</f>
        <v>-0.62[-1.18,-0.05]</v>
      </c>
      <c r="E22" t="str" cm="1">
        <f t="array" ref="E22">_xlfn.XLOOKUP($A22&amp;E$3&amp;$C$2&amp;$A$1,doses_results!$C$2:$C$400&amp;doses_results!$K$2:$K$400&amp;doses_results!$J$2:$J$400&amp;doses_results!$I$2:$I$400,doses_results!$L$2:$L$400,"",0)</f>
        <v/>
      </c>
      <c r="F22" t="str" cm="1">
        <f t="array" ref="F22">_xlfn.XLOOKUP($A22&amp;F$3&amp;$F$2&amp;$A$1,doses_results!$C$2:$C$400&amp;doses_results!$K$2:$K$400&amp;doses_results!$J$2:$J$400&amp;doses_results!$I$2:$I$400,doses_results!$L$2:$L$400,"",0)</f>
        <v/>
      </c>
      <c r="G22" t="str" cm="1">
        <f t="array" ref="G22">_xlfn.XLOOKUP($A22&amp;G$3&amp;$F$2&amp;$A$1,doses_results!$C$2:$C$400&amp;doses_results!$K$2:$K$400&amp;doses_results!$J$2:$J$400&amp;doses_results!$I$2:$I$400,doses_results!$L$2:$L$400,"",0)</f>
        <v/>
      </c>
      <c r="H22" t="str" cm="1">
        <f t="array" ref="H22">_xlfn.XLOOKUP($A22&amp;H$3&amp;$C$2&amp;$A$1,doses_results!$C$2:$C$400&amp;doses_results!$K$2:$K$400&amp;doses_results!$J$2:$J$400&amp;doses_results!$I$2:$I$400,doses_results!$L$2:$L$400,"",0)</f>
        <v/>
      </c>
      <c r="I22" t="str" cm="1">
        <f t="array" ref="I22">_xlfn.XLOOKUP($A22&amp;I$3&amp;$I$2&amp;$A$1,doses_results!$C$2:$C$400&amp;doses_results!$K$2:$K$400&amp;doses_results!$J$2:$J$400&amp;doses_results!$I$2:$I$400,doses_results!$L$2:$L$400,"",0)</f>
        <v/>
      </c>
      <c r="J22" t="str" cm="1">
        <f t="array" ref="J22">_xlfn.XLOOKUP($A22&amp;J$3&amp;$I$2&amp;$A$1,doses_results!$C$2:$C$400&amp;doses_results!$K$2:$K$400&amp;doses_results!$J$2:$J$400&amp;doses_results!$I$2:$I$400,doses_results!$L$2:$L$400,"",0)</f>
        <v>-0.06[-0.55,0.44]</v>
      </c>
      <c r="O22" s="1"/>
    </row>
    <row r="23" spans="1:15" x14ac:dyDescent="0.25">
      <c r="A23" t="s">
        <v>33</v>
      </c>
      <c r="B23" t="s">
        <v>130</v>
      </c>
      <c r="C23" t="str" cm="1">
        <f t="array" ref="C23">_xlfn.XLOOKUP($A23&amp;C$3&amp;$C$2&amp;$A$1,doses_results!$C$2:$C$400&amp;doses_results!$K$2:$K$400&amp;doses_results!$J$2:$J$400&amp;doses_results!$I$2:$I$400,doses_results!$L$2:$L$400,"",0)</f>
        <v>-0.43[-1.06,0.19]</v>
      </c>
      <c r="D23" t="str" cm="1">
        <f t="array" ref="D23">_xlfn.XLOOKUP($A23&amp;D$3&amp;$C$2&amp;$A$1,doses_results!$C$2:$C$400&amp;doses_results!$K$2:$K$400&amp;doses_results!$J$2:$J$400&amp;doses_results!$I$2:$I$400,doses_results!$L$2:$L$400,"",0)</f>
        <v>-0.40[-1.03,0.23]</v>
      </c>
      <c r="E23" t="str" cm="1">
        <f t="array" ref="E23">_xlfn.XLOOKUP($A23&amp;E$3&amp;$C$2&amp;$A$1,doses_results!$C$2:$C$400&amp;doses_results!$K$2:$K$400&amp;doses_results!$J$2:$J$400&amp;doses_results!$I$2:$I$400,doses_results!$L$2:$L$400,"",0)</f>
        <v/>
      </c>
      <c r="F23" t="str" cm="1">
        <f t="array" ref="F23">_xlfn.XLOOKUP($A23&amp;F$3&amp;$F$2&amp;$A$1,doses_results!$C$2:$C$400&amp;doses_results!$K$2:$K$400&amp;doses_results!$J$2:$J$400&amp;doses_results!$I$2:$I$400,doses_results!$L$2:$L$400,"",0)</f>
        <v/>
      </c>
      <c r="G23" t="str" cm="1">
        <f t="array" ref="G23">_xlfn.XLOOKUP($A23&amp;G$3&amp;$F$2&amp;$A$1,doses_results!$C$2:$C$400&amp;doses_results!$K$2:$K$400&amp;doses_results!$J$2:$J$400&amp;doses_results!$I$2:$I$400,doses_results!$L$2:$L$400,"",0)</f>
        <v/>
      </c>
      <c r="H23" t="str" cm="1">
        <f t="array" ref="H23">_xlfn.XLOOKUP($A23&amp;H$3&amp;$C$2&amp;$A$1,doses_results!$C$2:$C$400&amp;doses_results!$K$2:$K$400&amp;doses_results!$J$2:$J$400&amp;doses_results!$I$2:$I$400,doses_results!$L$2:$L$400,"",0)</f>
        <v/>
      </c>
      <c r="I23" t="str" cm="1">
        <f t="array" ref="I23">_xlfn.XLOOKUP($A23&amp;I$3&amp;$I$2&amp;$A$1,doses_results!$C$2:$C$400&amp;doses_results!$K$2:$K$400&amp;doses_results!$J$2:$J$400&amp;doses_results!$I$2:$I$400,doses_results!$L$2:$L$400,"",0)</f>
        <v/>
      </c>
      <c r="J23" t="str" cm="1">
        <f t="array" ref="J23">_xlfn.XLOOKUP($A23&amp;J$3&amp;$I$2&amp;$A$1,doses_results!$C$2:$C$400&amp;doses_results!$K$2:$K$400&amp;doses_results!$J$2:$J$400&amp;doses_results!$I$2:$I$400,doses_results!$L$2:$L$400,"",0)</f>
        <v/>
      </c>
      <c r="O23" s="1"/>
    </row>
    <row r="24" spans="1:15" x14ac:dyDescent="0.25">
      <c r="A24" s="8" t="s">
        <v>34</v>
      </c>
      <c r="B24" s="8" t="s">
        <v>131</v>
      </c>
      <c r="C24" t="str" cm="1">
        <f t="array" ref="C24">_xlfn.XLOOKUP($A24&amp;C$3&amp;$C$2&amp;$A$1,doses_results!$C$2:$C$400&amp;doses_results!$K$2:$K$400&amp;doses_results!$J$2:$J$400&amp;doses_results!$I$2:$I$400,doses_results!$L$2:$L$400,"",0)</f>
        <v>-0.32[-0.69,0.05]</v>
      </c>
      <c r="D24" t="str" cm="1">
        <f t="array" ref="D24">_xlfn.XLOOKUP($A24&amp;D$3&amp;$C$2&amp;$A$1,doses_results!$C$2:$C$400&amp;doses_results!$K$2:$K$400&amp;doses_results!$J$2:$J$400&amp;doses_results!$I$2:$I$400,doses_results!$L$2:$L$400,"",0)</f>
        <v>-0.34[-0.72,0.04]</v>
      </c>
      <c r="E24" t="str" cm="1">
        <f t="array" ref="E24">_xlfn.XLOOKUP($A24&amp;E$3&amp;$C$2&amp;$A$1,doses_results!$C$2:$C$400&amp;doses_results!$K$2:$K$400&amp;doses_results!$J$2:$J$400&amp;doses_results!$I$2:$I$400,doses_results!$L$2:$L$400,"",0)</f>
        <v/>
      </c>
      <c r="F24" t="str" cm="1">
        <f t="array" ref="F24">_xlfn.XLOOKUP($A24&amp;F$3&amp;$F$2&amp;$A$1,doses_results!$C$2:$C$400&amp;doses_results!$K$2:$K$400&amp;doses_results!$J$2:$J$400&amp;doses_results!$I$2:$I$400,doses_results!$L$2:$L$400,"",0)</f>
        <v>-0.30[-0.64,0.04]</v>
      </c>
      <c r="G24" t="str" cm="1">
        <f t="array" ref="G24">_xlfn.XLOOKUP($A24&amp;G$3&amp;$F$2&amp;$A$1,doses_results!$C$2:$C$400&amp;doses_results!$K$2:$K$400&amp;doses_results!$J$2:$J$400&amp;doses_results!$I$2:$I$400,doses_results!$L$2:$L$400,"",0)</f>
        <v>-0.29[-0.64,0.05]</v>
      </c>
      <c r="H24" t="str" cm="1">
        <f t="array" ref="H24">_xlfn.XLOOKUP($A24&amp;H$3&amp;$C$2&amp;$A$1,doses_results!$C$2:$C$400&amp;doses_results!$K$2:$K$400&amp;doses_results!$J$2:$J$400&amp;doses_results!$I$2:$I$400,doses_results!$L$2:$L$400,"",0)</f>
        <v/>
      </c>
      <c r="I24" t="str" cm="1">
        <f t="array" ref="I24">_xlfn.XLOOKUP($A24&amp;I$3&amp;$I$2&amp;$A$1,doses_results!$C$2:$C$400&amp;doses_results!$K$2:$K$400&amp;doses_results!$J$2:$J$400&amp;doses_results!$I$2:$I$400,doses_results!$L$2:$L$400,"",0)</f>
        <v>-0.32[-0.67,0.03]</v>
      </c>
      <c r="J24" t="str" cm="1">
        <f t="array" ref="J24">_xlfn.XLOOKUP($A24&amp;J$3&amp;$I$2&amp;$A$1,doses_results!$C$2:$C$400&amp;doses_results!$K$2:$K$400&amp;doses_results!$J$2:$J$400&amp;doses_results!$I$2:$I$400,doses_results!$L$2:$L$400,"",0)</f>
        <v>-0.43[-0.77,-0.09]</v>
      </c>
      <c r="O24" s="1"/>
    </row>
    <row r="25" spans="1:15" x14ac:dyDescent="0.25">
      <c r="A25" t="s">
        <v>35</v>
      </c>
      <c r="B25" t="s">
        <v>132</v>
      </c>
      <c r="C25" t="str" cm="1">
        <f t="array" ref="C25">_xlfn.XLOOKUP($A25&amp;C$3&amp;$C$2&amp;$A$1,doses_results!$C$2:$C$400&amp;doses_results!$K$2:$K$400&amp;doses_results!$J$2:$J$400&amp;doses_results!$I$2:$I$400,doses_results!$L$2:$L$400,"",0)</f>
        <v>-0.16[-0.53,0.21]</v>
      </c>
      <c r="D25" t="str" cm="1">
        <f t="array" ref="D25">_xlfn.XLOOKUP($A25&amp;D$3&amp;$C$2&amp;$A$1,doses_results!$C$2:$C$400&amp;doses_results!$K$2:$K$400&amp;doses_results!$J$2:$J$400&amp;doses_results!$I$2:$I$400,doses_results!$L$2:$L$400,"",0)</f>
        <v>-0.16[-0.54,0.22]</v>
      </c>
      <c r="E25" t="str" cm="1">
        <f t="array" ref="E25">_xlfn.XLOOKUP($A25&amp;E$3&amp;$C$2&amp;$A$1,doses_results!$C$2:$C$400&amp;doses_results!$K$2:$K$400&amp;doses_results!$J$2:$J$400&amp;doses_results!$I$2:$I$400,doses_results!$L$2:$L$400,"",0)</f>
        <v/>
      </c>
      <c r="F25" t="str" cm="1">
        <f t="array" ref="F25">_xlfn.XLOOKUP($A25&amp;F$3&amp;$F$2&amp;$A$1,doses_results!$C$2:$C$400&amp;doses_results!$K$2:$K$400&amp;doses_results!$J$2:$J$400&amp;doses_results!$I$2:$I$400,doses_results!$L$2:$L$400,"",0)</f>
        <v/>
      </c>
      <c r="G25" t="str" cm="1">
        <f t="array" ref="G25">_xlfn.XLOOKUP($A25&amp;G$3&amp;$F$2&amp;$A$1,doses_results!$C$2:$C$400&amp;doses_results!$K$2:$K$400&amp;doses_results!$J$2:$J$400&amp;doses_results!$I$2:$I$400,doses_results!$L$2:$L$400,"",0)</f>
        <v/>
      </c>
      <c r="H25" t="str" cm="1">
        <f t="array" ref="H25">_xlfn.XLOOKUP($A25&amp;H$3&amp;$C$2&amp;$A$1,doses_results!$C$2:$C$400&amp;doses_results!$K$2:$K$400&amp;doses_results!$J$2:$J$400&amp;doses_results!$I$2:$I$400,doses_results!$L$2:$L$400,"",0)</f>
        <v/>
      </c>
      <c r="I25" t="str" cm="1">
        <f t="array" ref="I25">_xlfn.XLOOKUP($A25&amp;I$3&amp;$I$2&amp;$A$1,doses_results!$C$2:$C$400&amp;doses_results!$K$2:$K$400&amp;doses_results!$J$2:$J$400&amp;doses_results!$I$2:$I$400,doses_results!$L$2:$L$400,"",0)</f>
        <v/>
      </c>
      <c r="J25" t="str" cm="1">
        <f t="array" ref="J25">_xlfn.XLOOKUP($A25&amp;J$3&amp;$I$2&amp;$A$1,doses_results!$C$2:$C$400&amp;doses_results!$K$2:$K$400&amp;doses_results!$J$2:$J$400&amp;doses_results!$I$2:$I$400,doses_results!$L$2:$L$400,"",0)</f>
        <v/>
      </c>
      <c r="O25" s="1"/>
    </row>
    <row r="26" spans="1:15" x14ac:dyDescent="0.25">
      <c r="A26" s="2" t="s">
        <v>36</v>
      </c>
      <c r="B26" s="2" t="s">
        <v>133</v>
      </c>
      <c r="C26" s="2" t="str" cm="1">
        <f t="array" ref="C26">_xlfn.XLOOKUP($A26&amp;C$3&amp;$C$2&amp;$A$1,doses_results!$C$2:$C$400&amp;doses_results!$K$2:$K$400&amp;doses_results!$J$2:$J$400&amp;doses_results!$I$2:$I$400,doses_results!$L$2:$L$400,"",0)</f>
        <v>-0.52[-0.86,-0.18]</v>
      </c>
      <c r="D26" s="2" t="str" cm="1">
        <f t="array" ref="D26">_xlfn.XLOOKUP($A26&amp;D$3&amp;$C$2&amp;$A$1,doses_results!$C$2:$C$400&amp;doses_results!$K$2:$K$400&amp;doses_results!$J$2:$J$400&amp;doses_results!$I$2:$I$400,doses_results!$L$2:$L$400,"",0)</f>
        <v>-0.49[-0.84,-0.15]</v>
      </c>
      <c r="E26" s="2" t="str" cm="1">
        <f t="array" ref="E26">_xlfn.XLOOKUP($A26&amp;E$3&amp;$C$2&amp;$A$1,doses_results!$C$2:$C$400&amp;doses_results!$K$2:$K$400&amp;doses_results!$J$2:$J$400&amp;doses_results!$I$2:$I$400,doses_results!$L$2:$L$400,"",0)</f>
        <v/>
      </c>
      <c r="F26" s="2" t="str" cm="1">
        <f t="array" ref="F26">_xlfn.XLOOKUP($A26&amp;F$3&amp;$F$2&amp;$A$1,doses_results!$C$2:$C$400&amp;doses_results!$K$2:$K$400&amp;doses_results!$J$2:$J$400&amp;doses_results!$I$2:$I$400,doses_results!$L$2:$L$400,"",0)</f>
        <v>-0.53[-0.80,-0.26]</v>
      </c>
      <c r="G26" s="2" t="str" cm="1">
        <f t="array" ref="G26">_xlfn.XLOOKUP($A26&amp;G$3&amp;$F$2&amp;$A$1,doses_results!$C$2:$C$400&amp;doses_results!$K$2:$K$400&amp;doses_results!$J$2:$J$400&amp;doses_results!$I$2:$I$400,doses_results!$L$2:$L$400,"",0)</f>
        <v>-0.53[-0.81,-0.26]</v>
      </c>
      <c r="H26" s="2" t="str" cm="1">
        <f t="array" ref="H26">_xlfn.XLOOKUP($A26&amp;H$3&amp;$C$2&amp;$A$1,doses_results!$C$2:$C$400&amp;doses_results!$K$2:$K$400&amp;doses_results!$J$2:$J$400&amp;doses_results!$I$2:$I$400,doses_results!$L$2:$L$400,"",0)</f>
        <v/>
      </c>
      <c r="I26" s="2" t="str" cm="1">
        <f t="array" ref="I26">_xlfn.XLOOKUP($A26&amp;I$3&amp;$I$2&amp;$A$1,doses_results!$C$2:$C$400&amp;doses_results!$K$2:$K$400&amp;doses_results!$J$2:$J$400&amp;doses_results!$I$2:$I$400,doses_results!$L$2:$L$400,"",0)</f>
        <v>-0.58[-0.81,-0.36]</v>
      </c>
      <c r="J26" s="2" t="str" cm="1">
        <f t="array" ref="J26">_xlfn.XLOOKUP($A26&amp;J$3&amp;$I$2&amp;$A$1,doses_results!$C$2:$C$400&amp;doses_results!$K$2:$K$400&amp;doses_results!$J$2:$J$400&amp;doses_results!$I$2:$I$400,doses_results!$L$2:$L$400,"",0)</f>
        <v>-0.44[-0.68,-0.20]</v>
      </c>
      <c r="O26" s="1"/>
    </row>
    <row r="27" spans="1:15" x14ac:dyDescent="0.25">
      <c r="A27" s="7" t="s">
        <v>89</v>
      </c>
      <c r="B27" s="7" t="s">
        <v>134</v>
      </c>
      <c r="C27" s="7" t="str" cm="1">
        <f t="array" ref="C27">_xlfn.XLOOKUP($A27&amp;C$3&amp;$C$2&amp;$A$1,doses_results!$C$2:$C$400&amp;doses_results!$K$2:$K$400&amp;doses_results!$J$2:$J$400&amp;doses_results!$I$2:$I$400,doses_results!$L$2:$L$400,"",0)</f>
        <v/>
      </c>
      <c r="D27" s="7" t="str" cm="1">
        <f t="array" ref="D27">_xlfn.XLOOKUP($A27&amp;D$3&amp;$C$2&amp;$A$1,doses_results!$C$2:$C$400&amp;doses_results!$K$2:$K$400&amp;doses_results!$J$2:$J$400&amp;doses_results!$I$2:$I$400,doses_results!$L$2:$L$400,"",0)</f>
        <v/>
      </c>
      <c r="E27" s="7" t="str" cm="1">
        <f t="array" ref="E27">_xlfn.XLOOKUP($A27&amp;E$3&amp;$C$2&amp;$A$1,doses_results!$C$2:$C$400&amp;doses_results!$K$2:$K$400&amp;doses_results!$J$2:$J$400&amp;doses_results!$I$2:$I$400,doses_results!$L$2:$L$400,"",0)</f>
        <v/>
      </c>
      <c r="F27" s="7" t="str" cm="1">
        <f t="array" ref="F27">_xlfn.XLOOKUP($A27&amp;F$3&amp;$F$2&amp;$A$1,doses_results!$C$2:$C$400&amp;doses_results!$K$2:$K$400&amp;doses_results!$J$2:$J$400&amp;doses_results!$I$2:$I$400,doses_results!$L$2:$L$400,"",0)</f>
        <v>2.93[1.62,4.24]</v>
      </c>
      <c r="G27" s="7" t="str" cm="1">
        <f t="array" ref="G27">_xlfn.XLOOKUP($A27&amp;G$3&amp;$F$2&amp;$A$1,doses_results!$C$2:$C$400&amp;doses_results!$K$2:$K$400&amp;doses_results!$J$2:$J$400&amp;doses_results!$I$2:$I$400,doses_results!$L$2:$L$400,"",0)</f>
        <v>2.88[1.55,4.20]</v>
      </c>
      <c r="H27" s="7" t="str" cm="1">
        <f t="array" ref="H27">_xlfn.XLOOKUP($A27&amp;H$3&amp;$C$2&amp;$A$1,doses_results!$C$2:$C$400&amp;doses_results!$K$2:$K$400&amp;doses_results!$J$2:$J$400&amp;doses_results!$I$2:$I$400,doses_results!$L$2:$L$400,"",0)</f>
        <v/>
      </c>
      <c r="I27" s="7" t="str" cm="1">
        <f t="array" ref="I27">_xlfn.XLOOKUP($A27&amp;I$3&amp;$I$2&amp;$A$1,doses_results!$C$2:$C$400&amp;doses_results!$K$2:$K$400&amp;doses_results!$J$2:$J$400&amp;doses_results!$I$2:$I$400,doses_results!$L$2:$L$400,"",0)</f>
        <v>3.82[3.16,4.48]</v>
      </c>
      <c r="J27" s="7" t="str" cm="1">
        <f t="array" ref="J27">_xlfn.XLOOKUP($A27&amp;J$3&amp;$I$2&amp;$A$1,doses_results!$C$2:$C$400&amp;doses_results!$K$2:$K$400&amp;doses_results!$J$2:$J$400&amp;doses_results!$I$2:$I$400,doses_results!$L$2:$L$400,"",0)</f>
        <v>2.84[2.50,3.18]</v>
      </c>
      <c r="O27" s="1"/>
    </row>
    <row r="28" spans="1:15" x14ac:dyDescent="0.25">
      <c r="A28" t="s">
        <v>90</v>
      </c>
      <c r="B28" t="s">
        <v>135</v>
      </c>
      <c r="C28" t="str" cm="1">
        <f t="array" ref="C28">_xlfn.XLOOKUP($A28&amp;C$3&amp;$C$2&amp;$A$1,doses_results!$C$2:$C$400&amp;doses_results!$K$2:$K$400&amp;doses_results!$J$2:$J$400&amp;doses_results!$I$2:$I$400,doses_results!$L$2:$L$400,"",0)</f>
        <v/>
      </c>
      <c r="D28" t="str" cm="1">
        <f t="array" ref="D28">_xlfn.XLOOKUP($A28&amp;D$3&amp;$C$2&amp;$A$1,doses_results!$C$2:$C$400&amp;doses_results!$K$2:$K$400&amp;doses_results!$J$2:$J$400&amp;doses_results!$I$2:$I$400,doses_results!$L$2:$L$400,"",0)</f>
        <v/>
      </c>
      <c r="E28" t="str" cm="1">
        <f t="array" ref="E28">_xlfn.XLOOKUP($A28&amp;E$3&amp;$C$2&amp;$A$1,doses_results!$C$2:$C$400&amp;doses_results!$K$2:$K$400&amp;doses_results!$J$2:$J$400&amp;doses_results!$I$2:$I$400,doses_results!$L$2:$L$400,"",0)</f>
        <v/>
      </c>
      <c r="F28" t="str" cm="1">
        <f t="array" ref="F28">_xlfn.XLOOKUP($A28&amp;F$3&amp;$F$2&amp;$A$1,doses_results!$C$2:$C$400&amp;doses_results!$K$2:$K$400&amp;doses_results!$J$2:$J$400&amp;doses_results!$I$2:$I$400,doses_results!$L$2:$L$400,"",0)</f>
        <v>15.60[1.50,29.69]</v>
      </c>
      <c r="G28" t="str" cm="1">
        <f t="array" ref="G28">_xlfn.XLOOKUP($A28&amp;G$3&amp;$F$2&amp;$A$1,doses_results!$C$2:$C$400&amp;doses_results!$K$2:$K$400&amp;doses_results!$J$2:$J$400&amp;doses_results!$I$2:$I$400,doses_results!$L$2:$L$400,"",0)</f>
        <v>14.94[0.86,29.02]</v>
      </c>
      <c r="H28" t="str" cm="1">
        <f t="array" ref="H28">_xlfn.XLOOKUP($A28&amp;H$3&amp;$C$2&amp;$A$1,doses_results!$C$2:$C$400&amp;doses_results!$K$2:$K$400&amp;doses_results!$J$2:$J$400&amp;doses_results!$I$2:$I$400,doses_results!$L$2:$L$400,"",0)</f>
        <v/>
      </c>
      <c r="I28" t="str" cm="1">
        <f t="array" ref="I28">_xlfn.XLOOKUP($A28&amp;I$3&amp;$I$2&amp;$A$1,doses_results!$C$2:$C$400&amp;doses_results!$K$2:$K$400&amp;doses_results!$J$2:$J$400&amp;doses_results!$I$2:$I$400,doses_results!$L$2:$L$400,"",0)</f>
        <v>12.86[-0.79,26.51]</v>
      </c>
      <c r="J28" t="str" cm="1">
        <f t="array" ref="J28">_xlfn.XLOOKUP($A28&amp;J$3&amp;$I$2&amp;$A$1,doses_results!$C$2:$C$400&amp;doses_results!$K$2:$K$400&amp;doses_results!$J$2:$J$400&amp;doses_results!$I$2:$I$400,doses_results!$L$2:$L$400,"",0)</f>
        <v/>
      </c>
      <c r="O28" s="1"/>
    </row>
    <row r="29" spans="1:15" x14ac:dyDescent="0.25">
      <c r="A29" t="s">
        <v>97</v>
      </c>
      <c r="B29" t="s">
        <v>168</v>
      </c>
      <c r="C29" t="str" cm="1">
        <f t="array" ref="C29">_xlfn.XLOOKUP($A29&amp;C$3&amp;$C$2&amp;$A$1,doses_results!$C$2:$C$400&amp;doses_results!$K$2:$K$400&amp;doses_results!$J$2:$J$400&amp;doses_results!$I$2:$I$400,doses_results!$L$2:$L$400,"",0)</f>
        <v/>
      </c>
      <c r="D29" t="str" cm="1">
        <f t="array" ref="D29">_xlfn.XLOOKUP($A29&amp;D$3&amp;$C$2&amp;$A$1,doses_results!$C$2:$C$400&amp;doses_results!$K$2:$K$400&amp;doses_results!$J$2:$J$400&amp;doses_results!$I$2:$I$400,doses_results!$L$2:$L$400,"",0)</f>
        <v/>
      </c>
      <c r="E29" t="str" cm="1">
        <f t="array" ref="E29">_xlfn.XLOOKUP($A29&amp;E$3&amp;$C$2&amp;$A$1,doses_results!$C$2:$C$400&amp;doses_results!$K$2:$K$400&amp;doses_results!$J$2:$J$400&amp;doses_results!$I$2:$I$400,doses_results!$L$2:$L$400,"",0)</f>
        <v/>
      </c>
      <c r="F29" t="str" cm="1">
        <f t="array" ref="F29">_xlfn.XLOOKUP($A29&amp;F$3&amp;$F$2&amp;$A$1,doses_results!$C$2:$C$400&amp;doses_results!$K$2:$K$400&amp;doses_results!$J$2:$J$400&amp;doses_results!$I$2:$I$400,doses_results!$L$2:$L$400,"",0)</f>
        <v/>
      </c>
      <c r="G29" t="str" cm="1">
        <f t="array" ref="G29">_xlfn.XLOOKUP($A29&amp;G$3&amp;$F$2&amp;$A$1,doses_results!$C$2:$C$400&amp;doses_results!$K$2:$K$400&amp;doses_results!$J$2:$J$400&amp;doses_results!$I$2:$I$400,doses_results!$L$2:$L$400,"",0)</f>
        <v/>
      </c>
      <c r="H29" t="str" cm="1">
        <f t="array" ref="H29">_xlfn.XLOOKUP($A29&amp;H$3&amp;$C$2&amp;$A$1,doses_results!$C$2:$C$400&amp;doses_results!$K$2:$K$400&amp;doses_results!$J$2:$J$400&amp;doses_results!$I$2:$I$400,doses_results!$L$2:$L$400,"",0)</f>
        <v/>
      </c>
      <c r="I29" t="str" cm="1">
        <f t="array" ref="I29">_xlfn.XLOOKUP($A29&amp;I$3&amp;$I$2&amp;$A$1,doses_results!$C$2:$C$400&amp;doses_results!$K$2:$K$400&amp;doses_results!$J$2:$J$400&amp;doses_results!$I$2:$I$400,doses_results!$L$2:$L$400,"",0)</f>
        <v>1.40[0.58,2.22]</v>
      </c>
      <c r="J29" t="str" cm="1">
        <f t="array" ref="J29">_xlfn.XLOOKUP($A29&amp;J$3&amp;$I$2&amp;$A$1,doses_results!$C$2:$C$400&amp;doses_results!$K$2:$K$400&amp;doses_results!$J$2:$J$400&amp;doses_results!$I$2:$I$400,doses_results!$L$2:$L$400,"",0)</f>
        <v>1.14[0.30,1.98]</v>
      </c>
      <c r="O29" s="1"/>
    </row>
    <row r="30" spans="1:15" x14ac:dyDescent="0.25">
      <c r="A30" t="s">
        <v>145</v>
      </c>
      <c r="B30" t="s">
        <v>155</v>
      </c>
      <c r="C30" t="str" cm="1">
        <f t="array" ref="C30">_xlfn.XLOOKUP($A30&amp;C$3&amp;$C$2&amp;$A$1,doses_results!$C$2:$C$400&amp;doses_results!$K$2:$K$400&amp;doses_results!$J$2:$J$400&amp;doses_results!$I$2:$I$400,doses_results!$L$2:$L$400,"",0)</f>
        <v/>
      </c>
      <c r="D30" t="str" cm="1">
        <f t="array" ref="D30">_xlfn.XLOOKUP($A30&amp;D$3&amp;$C$2&amp;$A$1,doses_results!$C$2:$C$400&amp;doses_results!$K$2:$K$400&amp;doses_results!$J$2:$J$400&amp;doses_results!$I$2:$I$400,doses_results!$L$2:$L$400,"",0)</f>
        <v/>
      </c>
      <c r="E30" t="str" cm="1">
        <f t="array" ref="E30">_xlfn.XLOOKUP($A30&amp;E$3&amp;$C$2&amp;$A$1,doses_results!$C$2:$C$400&amp;doses_results!$K$2:$K$400&amp;doses_results!$J$2:$J$400&amp;doses_results!$I$2:$I$400,doses_results!$L$2:$L$400,"",0)</f>
        <v/>
      </c>
      <c r="F30" t="str" cm="1">
        <f t="array" ref="F30">_xlfn.XLOOKUP($A30&amp;F$3&amp;$F$2&amp;$A$1,doses_results!$C$2:$C$400&amp;doses_results!$K$2:$K$400&amp;doses_results!$J$2:$J$400&amp;doses_results!$I$2:$I$400,doses_results!$L$2:$L$400,"",0)</f>
        <v/>
      </c>
      <c r="G30" t="str" cm="1">
        <f t="array" ref="G30">_xlfn.XLOOKUP($A30&amp;G$3&amp;$F$2&amp;$A$1,doses_results!$C$2:$C$400&amp;doses_results!$K$2:$K$400&amp;doses_results!$J$2:$J$400&amp;doses_results!$I$2:$I$400,doses_results!$L$2:$L$400,"",0)</f>
        <v/>
      </c>
      <c r="H30" t="str" cm="1">
        <f t="array" ref="H30">_xlfn.XLOOKUP($A30&amp;H$3&amp;$C$2&amp;$A$1,doses_results!$C$2:$C$400&amp;doses_results!$K$2:$K$400&amp;doses_results!$J$2:$J$400&amp;doses_results!$I$2:$I$400,doses_results!$L$2:$L$400,"",0)</f>
        <v/>
      </c>
      <c r="I30" t="str" cm="1">
        <f t="array" ref="I30">_xlfn.XLOOKUP($A30&amp;I$3&amp;$I$2&amp;$A$1,doses_results!$C$2:$C$400&amp;doses_results!$K$2:$K$400&amp;doses_results!$J$2:$J$400&amp;doses_results!$I$2:$I$400,doses_results!$L$2:$L$400,"",0)</f>
        <v>0.14[-0.37,0.65]</v>
      </c>
      <c r="J30" t="str" cm="1">
        <f t="array" ref="J30">_xlfn.XLOOKUP($A30&amp;J$3&amp;$I$2&amp;$A$1,doses_results!$C$2:$C$400&amp;doses_results!$K$2:$K$400&amp;doses_results!$J$2:$J$400&amp;doses_results!$I$2:$I$400,doses_results!$L$2:$L$400,"",0)</f>
        <v/>
      </c>
      <c r="O30" s="1"/>
    </row>
    <row r="31" spans="1:15" x14ac:dyDescent="0.25">
      <c r="A31" t="s">
        <v>96</v>
      </c>
      <c r="B31" t="s">
        <v>96</v>
      </c>
      <c r="C31" t="str" cm="1">
        <f t="array" ref="C31">_xlfn.XLOOKUP($A31&amp;C$3&amp;$C$2&amp;$A$1,doses_results!$C$2:$C$400&amp;doses_results!$K$2:$K$400&amp;doses_results!$J$2:$J$400&amp;doses_results!$I$2:$I$400,doses_results!$L$2:$L$400,"",0)</f>
        <v/>
      </c>
      <c r="D31" t="str" cm="1">
        <f t="array" ref="D31">_xlfn.XLOOKUP($A31&amp;D$3&amp;$C$2&amp;$A$1,doses_results!$C$2:$C$400&amp;doses_results!$K$2:$K$400&amp;doses_results!$J$2:$J$400&amp;doses_results!$I$2:$I$400,doses_results!$L$2:$L$400,"",0)</f>
        <v/>
      </c>
      <c r="E31" t="str" cm="1">
        <f t="array" ref="E31">_xlfn.XLOOKUP($A31&amp;E$3&amp;$C$2&amp;$A$1,doses_results!$C$2:$C$400&amp;doses_results!$K$2:$K$400&amp;doses_results!$J$2:$J$400&amp;doses_results!$I$2:$I$400,doses_results!$L$2:$L$400,"",0)</f>
        <v/>
      </c>
      <c r="F31" t="str" cm="1">
        <f t="array" ref="F31">_xlfn.XLOOKUP($A31&amp;F$3&amp;$F$2&amp;$A$1,doses_results!$C$2:$C$400&amp;doses_results!$K$2:$K$400&amp;doses_results!$J$2:$J$400&amp;doses_results!$I$2:$I$400,doses_results!$L$2:$L$400,"",0)</f>
        <v/>
      </c>
      <c r="G31" t="str" cm="1">
        <f t="array" ref="G31">_xlfn.XLOOKUP($A31&amp;G$3&amp;$F$2&amp;$A$1,doses_results!$C$2:$C$400&amp;doses_results!$K$2:$K$400&amp;doses_results!$J$2:$J$400&amp;doses_results!$I$2:$I$400,doses_results!$L$2:$L$400,"",0)</f>
        <v/>
      </c>
      <c r="H31" t="str" cm="1">
        <f t="array" ref="H31">_xlfn.XLOOKUP($A31&amp;H$3&amp;$C$2&amp;$A$1,doses_results!$C$2:$C$400&amp;doses_results!$K$2:$K$400&amp;doses_results!$J$2:$J$400&amp;doses_results!$I$2:$I$400,doses_results!$L$2:$L$400,"",0)</f>
        <v/>
      </c>
      <c r="I31" t="str" cm="1">
        <f t="array" ref="I31">_xlfn.XLOOKUP($A31&amp;I$3&amp;$I$2&amp;$A$1,doses_results!$C$2:$C$400&amp;doses_results!$K$2:$K$400&amp;doses_results!$J$2:$J$400&amp;doses_results!$I$2:$I$400,doses_results!$L$2:$L$400,"",0)</f>
        <v>-1.30[-2.16,-0.44]</v>
      </c>
      <c r="J31" t="str" cm="1">
        <f t="array" ref="J31">_xlfn.XLOOKUP($A31&amp;J$3&amp;$I$2&amp;$A$1,doses_results!$C$2:$C$400&amp;doses_results!$K$2:$K$400&amp;doses_results!$J$2:$J$400&amp;doses_results!$I$2:$I$400,doses_results!$L$2:$L$400,"",0)</f>
        <v>-1.11[-1.99,-0.23]</v>
      </c>
      <c r="O31" s="1"/>
    </row>
    <row r="32" spans="1:15" x14ac:dyDescent="0.25">
      <c r="A32" t="s">
        <v>98</v>
      </c>
      <c r="B32" t="s">
        <v>136</v>
      </c>
      <c r="C32" t="str" cm="1">
        <f t="array" ref="C32">_xlfn.XLOOKUP($A32&amp;C$3&amp;$C$2&amp;$A$1,doses_results!$C$2:$C$400&amp;doses_results!$K$2:$K$400&amp;doses_results!$J$2:$J$400&amp;doses_results!$I$2:$I$400,doses_results!$L$2:$L$400,"",0)</f>
        <v/>
      </c>
      <c r="D32" t="str" cm="1">
        <f t="array" ref="D32">_xlfn.XLOOKUP($A32&amp;D$3&amp;$C$2&amp;$A$1,doses_results!$C$2:$C$400&amp;doses_results!$K$2:$K$400&amp;doses_results!$J$2:$J$400&amp;doses_results!$I$2:$I$400,doses_results!$L$2:$L$400,"",0)</f>
        <v/>
      </c>
      <c r="E32" t="str" cm="1">
        <f t="array" ref="E32">_xlfn.XLOOKUP($A32&amp;E$3&amp;$C$2&amp;$A$1,doses_results!$C$2:$C$400&amp;doses_results!$K$2:$K$400&amp;doses_results!$J$2:$J$400&amp;doses_results!$I$2:$I$400,doses_results!$L$2:$L$400,"",0)</f>
        <v/>
      </c>
      <c r="F32" t="str" cm="1">
        <f t="array" ref="F32">_xlfn.XLOOKUP($A32&amp;F$3&amp;$F$2&amp;$A$1,doses_results!$C$2:$C$400&amp;doses_results!$K$2:$K$400&amp;doses_results!$J$2:$J$400&amp;doses_results!$I$2:$I$400,doses_results!$L$2:$L$400,"",0)</f>
        <v/>
      </c>
      <c r="G32" t="str" cm="1">
        <f t="array" ref="G32">_xlfn.XLOOKUP($A32&amp;G$3&amp;$F$2&amp;$A$1,doses_results!$C$2:$C$400&amp;doses_results!$K$2:$K$400&amp;doses_results!$J$2:$J$400&amp;doses_results!$I$2:$I$400,doses_results!$L$2:$L$400,"",0)</f>
        <v/>
      </c>
      <c r="H32" t="str" cm="1">
        <f t="array" ref="H32">_xlfn.XLOOKUP($A32&amp;H$3&amp;$C$2&amp;$A$1,doses_results!$C$2:$C$400&amp;doses_results!$K$2:$K$400&amp;doses_results!$J$2:$J$400&amp;doses_results!$I$2:$I$400,doses_results!$L$2:$L$400,"",0)</f>
        <v/>
      </c>
      <c r="I32" t="str" cm="1">
        <f t="array" ref="I32">_xlfn.XLOOKUP($A32&amp;I$3&amp;$I$2&amp;$A$1,doses_results!$C$2:$C$400&amp;doses_results!$K$2:$K$400&amp;doses_results!$J$2:$J$400&amp;doses_results!$I$2:$I$400,doses_results!$L$2:$L$400,"",0)</f>
        <v>0.67[-0.07,1.40]</v>
      </c>
      <c r="J32" t="str" cm="1">
        <f t="array" ref="J32">_xlfn.XLOOKUP($A32&amp;J$3&amp;$I$2&amp;$A$1,doses_results!$C$2:$C$400&amp;doses_results!$K$2:$K$400&amp;doses_results!$J$2:$J$400&amp;doses_results!$I$2:$I$400,doses_results!$L$2:$L$400,"",0)</f>
        <v>1.36[0.54,2.18]</v>
      </c>
      <c r="O32" s="1"/>
    </row>
    <row r="33" spans="1:15" x14ac:dyDescent="0.25">
      <c r="A33" t="s">
        <v>109</v>
      </c>
      <c r="B33" t="s">
        <v>141</v>
      </c>
      <c r="C33" t="str" cm="1">
        <f t="array" ref="C33">_xlfn.XLOOKUP($A33&amp;C$3&amp;$C$2&amp;$A$1,doses_results!$C$2:$C$400&amp;doses_results!$K$2:$K$400&amp;doses_results!$J$2:$J$400&amp;doses_results!$I$2:$I$400,doses_results!$L$2:$L$400,"",0)</f>
        <v/>
      </c>
      <c r="D33" t="str" cm="1">
        <f t="array" ref="D33">_xlfn.XLOOKUP($A33&amp;D$3&amp;$C$2&amp;$A$1,doses_results!$C$2:$C$400&amp;doses_results!$K$2:$K$400&amp;doses_results!$J$2:$J$400&amp;doses_results!$I$2:$I$400,doses_results!$L$2:$L$400,"",0)</f>
        <v/>
      </c>
      <c r="E33" t="str" cm="1">
        <f t="array" ref="E33">_xlfn.XLOOKUP($A33&amp;E$3&amp;$C$2&amp;$A$1,doses_results!$C$2:$C$400&amp;doses_results!$K$2:$K$400&amp;doses_results!$J$2:$J$400&amp;doses_results!$I$2:$I$400,doses_results!$L$2:$L$400,"",0)</f>
        <v/>
      </c>
      <c r="F33" t="str" cm="1">
        <f t="array" ref="F33">_xlfn.XLOOKUP($A33&amp;F$3&amp;$F$2&amp;$A$1,doses_results!$C$2:$C$400&amp;doses_results!$K$2:$K$400&amp;doses_results!$J$2:$J$400&amp;doses_results!$I$2:$I$400,doses_results!$L$2:$L$400,"",0)</f>
        <v/>
      </c>
      <c r="G33" t="str" cm="1">
        <f t="array" ref="G33">_xlfn.XLOOKUP($A33&amp;G$3&amp;$F$2&amp;$A$1,doses_results!$C$2:$C$400&amp;doses_results!$K$2:$K$400&amp;doses_results!$J$2:$J$400&amp;doses_results!$I$2:$I$400,doses_results!$L$2:$L$400,"",0)</f>
        <v/>
      </c>
      <c r="H33" t="str" cm="1">
        <f t="array" ref="H33">_xlfn.XLOOKUP($A33&amp;H$3&amp;$C$2&amp;$A$1,doses_results!$C$2:$C$400&amp;doses_results!$K$2:$K$400&amp;doses_results!$J$2:$J$400&amp;doses_results!$I$2:$I$400,doses_results!$L$2:$L$400,"",0)</f>
        <v/>
      </c>
      <c r="I33" t="str" cm="1">
        <f t="array" ref="I33">_xlfn.XLOOKUP($A33&amp;I$3&amp;$I$2&amp;$A$1,doses_results!$C$2:$C$400&amp;doses_results!$K$2:$K$400&amp;doses_results!$J$2:$J$400&amp;doses_results!$I$2:$I$400,doses_results!$L$2:$L$400,"",0)</f>
        <v>0.58[0.13,1.04]</v>
      </c>
      <c r="J33" t="str" cm="1">
        <f t="array" ref="J33">_xlfn.XLOOKUP($A33&amp;J$3&amp;$I$2&amp;$A$1,doses_results!$C$2:$C$400&amp;doses_results!$K$2:$K$400&amp;doses_results!$J$2:$J$400&amp;doses_results!$I$2:$I$400,doses_results!$L$2:$L$400,"",0)</f>
        <v>0.69[0.21,1.16]</v>
      </c>
      <c r="O33" s="1"/>
    </row>
    <row r="34" spans="1:15" x14ac:dyDescent="0.25">
      <c r="A34" t="s">
        <v>105</v>
      </c>
      <c r="B34" t="s">
        <v>139</v>
      </c>
      <c r="C34" t="str" cm="1">
        <f t="array" ref="C34">_xlfn.XLOOKUP($A34&amp;C$3&amp;$C$2&amp;$A$1,doses_results!$C$2:$C$400&amp;doses_results!$K$2:$K$400&amp;doses_results!$J$2:$J$400&amp;doses_results!$I$2:$I$400,doses_results!$L$2:$L$400,"",0)</f>
        <v/>
      </c>
      <c r="D34" t="str" cm="1">
        <f t="array" ref="D34">_xlfn.XLOOKUP($A34&amp;D$3&amp;$C$2&amp;$A$1,doses_results!$C$2:$C$400&amp;doses_results!$K$2:$K$400&amp;doses_results!$J$2:$J$400&amp;doses_results!$I$2:$I$400,doses_results!$L$2:$L$400,"",0)</f>
        <v/>
      </c>
      <c r="E34" t="str" cm="1">
        <f t="array" ref="E34">_xlfn.XLOOKUP($A34&amp;E$3&amp;$C$2&amp;$A$1,doses_results!$C$2:$C$400&amp;doses_results!$K$2:$K$400&amp;doses_results!$J$2:$J$400&amp;doses_results!$I$2:$I$400,doses_results!$L$2:$L$400,"",0)</f>
        <v/>
      </c>
      <c r="F34" t="str" cm="1">
        <f t="array" ref="F34">_xlfn.XLOOKUP($A34&amp;F$3&amp;$F$2&amp;$A$1,doses_results!$C$2:$C$400&amp;doses_results!$K$2:$K$400&amp;doses_results!$J$2:$J$400&amp;doses_results!$I$2:$I$400,doses_results!$L$2:$L$400,"",0)</f>
        <v/>
      </c>
      <c r="G34" t="str" cm="1">
        <f t="array" ref="G34">_xlfn.XLOOKUP($A34&amp;G$3&amp;$F$2&amp;$A$1,doses_results!$C$2:$C$400&amp;doses_results!$K$2:$K$400&amp;doses_results!$J$2:$J$400&amp;doses_results!$I$2:$I$400,doses_results!$L$2:$L$400,"",0)</f>
        <v/>
      </c>
      <c r="H34" t="str" cm="1">
        <f t="array" ref="H34">_xlfn.XLOOKUP($A34&amp;H$3&amp;$C$2&amp;$A$1,doses_results!$C$2:$C$400&amp;doses_results!$K$2:$K$400&amp;doses_results!$J$2:$J$400&amp;doses_results!$I$2:$I$400,doses_results!$L$2:$L$400,"",0)</f>
        <v/>
      </c>
      <c r="I34" t="str" cm="1">
        <f t="array" ref="I34">_xlfn.XLOOKUP($A34&amp;I$3&amp;$I$2&amp;$A$1,doses_results!$C$2:$C$400&amp;doses_results!$K$2:$K$400&amp;doses_results!$J$2:$J$400&amp;doses_results!$I$2:$I$400,doses_results!$L$2:$L$400,"",0)</f>
        <v>0.35[-0.03,0.72]</v>
      </c>
      <c r="J34" t="str" cm="1">
        <f t="array" ref="J34">_xlfn.XLOOKUP($A34&amp;J$3&amp;$I$2&amp;$A$1,doses_results!$C$2:$C$400&amp;doses_results!$K$2:$K$400&amp;doses_results!$J$2:$J$400&amp;doses_results!$I$2:$I$400,doses_results!$L$2:$L$400,"",0)</f>
        <v>0.53[0.09,0.96]</v>
      </c>
      <c r="O34" s="1"/>
    </row>
    <row r="35" spans="1:15" x14ac:dyDescent="0.25">
      <c r="A35" t="s">
        <v>107</v>
      </c>
      <c r="B35" t="s">
        <v>142</v>
      </c>
      <c r="C35" t="str" cm="1">
        <f t="array" ref="C35">_xlfn.XLOOKUP($A35&amp;C$3&amp;$C$2&amp;$A$1,doses_results!$C$2:$C$400&amp;doses_results!$K$2:$K$400&amp;doses_results!$J$2:$J$400&amp;doses_results!$I$2:$I$400,doses_results!$L$2:$L$400,"",0)</f>
        <v/>
      </c>
      <c r="D35" t="str" cm="1">
        <f t="array" ref="D35">_xlfn.XLOOKUP($A35&amp;D$3&amp;$C$2&amp;$A$1,doses_results!$C$2:$C$400&amp;doses_results!$K$2:$K$400&amp;doses_results!$J$2:$J$400&amp;doses_results!$I$2:$I$400,doses_results!$L$2:$L$400,"",0)</f>
        <v/>
      </c>
      <c r="E35" t="str" cm="1">
        <f t="array" ref="E35">_xlfn.XLOOKUP($A35&amp;E$3&amp;$C$2&amp;$A$1,doses_results!$C$2:$C$400&amp;doses_results!$K$2:$K$400&amp;doses_results!$J$2:$J$400&amp;doses_results!$I$2:$I$400,doses_results!$L$2:$L$400,"",0)</f>
        <v/>
      </c>
      <c r="F35" t="str" cm="1">
        <f t="array" ref="F35">_xlfn.XLOOKUP($A35&amp;F$3&amp;$F$2&amp;$A$1,doses_results!$C$2:$C$400&amp;doses_results!$K$2:$K$400&amp;doses_results!$J$2:$J$400&amp;doses_results!$I$2:$I$400,doses_results!$L$2:$L$400,"",0)</f>
        <v/>
      </c>
      <c r="G35" t="str" cm="1">
        <f t="array" ref="G35">_xlfn.XLOOKUP($A35&amp;G$3&amp;$F$2&amp;$A$1,doses_results!$C$2:$C$400&amp;doses_results!$K$2:$K$400&amp;doses_results!$J$2:$J$400&amp;doses_results!$I$2:$I$400,doses_results!$L$2:$L$400,"",0)</f>
        <v/>
      </c>
      <c r="H35" t="str" cm="1">
        <f t="array" ref="H35">_xlfn.XLOOKUP($A35&amp;H$3&amp;$C$2&amp;$A$1,doses_results!$C$2:$C$400&amp;doses_results!$K$2:$K$400&amp;doses_results!$J$2:$J$400&amp;doses_results!$I$2:$I$400,doses_results!$L$2:$L$400,"",0)</f>
        <v/>
      </c>
      <c r="I35" t="str" cm="1">
        <f t="array" ref="I35">_xlfn.XLOOKUP($A35&amp;I$3&amp;$I$2&amp;$A$1,doses_results!$C$2:$C$400&amp;doses_results!$K$2:$K$400&amp;doses_results!$J$2:$J$400&amp;doses_results!$I$2:$I$400,doses_results!$L$2:$L$400,"",0)</f>
        <v/>
      </c>
      <c r="J35" t="str" cm="1">
        <f t="array" ref="J35">_xlfn.XLOOKUP($A35&amp;J$3&amp;$I$2&amp;$A$1,doses_results!$C$2:$C$400&amp;doses_results!$K$2:$K$400&amp;doses_results!$J$2:$J$400&amp;doses_results!$I$2:$I$400,doses_results!$L$2:$L$400,"",0)</f>
        <v>1.20[0.02,2.38]</v>
      </c>
      <c r="O35" s="1"/>
    </row>
    <row r="36" spans="1:15" x14ac:dyDescent="0.25">
      <c r="O36" s="1"/>
    </row>
    <row r="37" spans="1:15" x14ac:dyDescent="0.25">
      <c r="O37" s="1"/>
    </row>
    <row r="38" spans="1:15" x14ac:dyDescent="0.25">
      <c r="O38" s="1"/>
    </row>
    <row r="39" spans="1:15" x14ac:dyDescent="0.25">
      <c r="O39" s="1"/>
    </row>
    <row r="40" spans="1:15" x14ac:dyDescent="0.25">
      <c r="O40" s="1"/>
    </row>
    <row r="41" spans="1:15" x14ac:dyDescent="0.25">
      <c r="O41" s="1"/>
    </row>
    <row r="42" spans="1:15" x14ac:dyDescent="0.25">
      <c r="O42" s="1"/>
    </row>
    <row r="43" spans="1:15" x14ac:dyDescent="0.25">
      <c r="O43" s="1"/>
    </row>
    <row r="44" spans="1:15" x14ac:dyDescent="0.25">
      <c r="O44" s="1"/>
    </row>
    <row r="45" spans="1:15" x14ac:dyDescent="0.25">
      <c r="O45" s="1"/>
    </row>
    <row r="46" spans="1:15" x14ac:dyDescent="0.25">
      <c r="O46" s="1"/>
    </row>
    <row r="47" spans="1:15" x14ac:dyDescent="0.25">
      <c r="O47" s="1"/>
    </row>
    <row r="48" spans="1:15" x14ac:dyDescent="0.25">
      <c r="O48" s="1"/>
    </row>
    <row r="49" spans="15:15" x14ac:dyDescent="0.25">
      <c r="O49" s="1"/>
    </row>
    <row r="50" spans="15:15" x14ac:dyDescent="0.25">
      <c r="O50" s="1"/>
    </row>
    <row r="51" spans="15:15" x14ac:dyDescent="0.25">
      <c r="O51" s="1"/>
    </row>
    <row r="52" spans="15:15" x14ac:dyDescent="0.25">
      <c r="O52" s="1"/>
    </row>
    <row r="53" spans="15:15" x14ac:dyDescent="0.25">
      <c r="O53" s="1"/>
    </row>
    <row r="54" spans="15:15" x14ac:dyDescent="0.25">
      <c r="O54" s="1"/>
    </row>
    <row r="55" spans="15:15" x14ac:dyDescent="0.25">
      <c r="O55" s="1"/>
    </row>
    <row r="56" spans="15:15" x14ac:dyDescent="0.25">
      <c r="O56" s="1"/>
    </row>
    <row r="57" spans="15:15" x14ac:dyDescent="0.25">
      <c r="O57" s="1"/>
    </row>
    <row r="58" spans="15:15" x14ac:dyDescent="0.25">
      <c r="O58" s="1"/>
    </row>
    <row r="59" spans="15:15" x14ac:dyDescent="0.25">
      <c r="O59" s="1"/>
    </row>
    <row r="60" spans="15:15" x14ac:dyDescent="0.25">
      <c r="O60" s="1"/>
    </row>
    <row r="61" spans="15:15" x14ac:dyDescent="0.25">
      <c r="O61" s="1"/>
    </row>
    <row r="62" spans="15:15" x14ac:dyDescent="0.25">
      <c r="O62" s="1"/>
    </row>
    <row r="63" spans="15:15" x14ac:dyDescent="0.25">
      <c r="O63" s="1"/>
    </row>
    <row r="64" spans="15:15" x14ac:dyDescent="0.25">
      <c r="O64" s="1"/>
    </row>
    <row r="65" spans="15:15" x14ac:dyDescent="0.25">
      <c r="O65" s="1"/>
    </row>
    <row r="66" spans="15:15" x14ac:dyDescent="0.25">
      <c r="O66" s="1"/>
    </row>
    <row r="67" spans="15:15" x14ac:dyDescent="0.25">
      <c r="O67" s="1"/>
    </row>
    <row r="68" spans="15:15" x14ac:dyDescent="0.25">
      <c r="O68" s="1"/>
    </row>
    <row r="69" spans="15:15" x14ac:dyDescent="0.25">
      <c r="O69" s="1"/>
    </row>
    <row r="70" spans="15:15" x14ac:dyDescent="0.25">
      <c r="O70" s="1"/>
    </row>
    <row r="71" spans="15:15" x14ac:dyDescent="0.25">
      <c r="O71" s="1"/>
    </row>
    <row r="72" spans="15:15" x14ac:dyDescent="0.25">
      <c r="O72" s="1"/>
    </row>
    <row r="73" spans="15:15" x14ac:dyDescent="0.25">
      <c r="O73" s="1"/>
    </row>
    <row r="74" spans="15:15" x14ac:dyDescent="0.25">
      <c r="O74" s="1"/>
    </row>
    <row r="75" spans="15:15" x14ac:dyDescent="0.25">
      <c r="O75" s="1"/>
    </row>
    <row r="76" spans="15:15" x14ac:dyDescent="0.25">
      <c r="O76" s="1"/>
    </row>
    <row r="77" spans="15:15" x14ac:dyDescent="0.25">
      <c r="O77" s="1"/>
    </row>
    <row r="78" spans="15:15" x14ac:dyDescent="0.25">
      <c r="O78" s="1"/>
    </row>
    <row r="79" spans="15:15" x14ac:dyDescent="0.25">
      <c r="O79" s="1"/>
    </row>
    <row r="80" spans="15:15" x14ac:dyDescent="0.25">
      <c r="O80" s="1"/>
    </row>
    <row r="81" spans="15:15" x14ac:dyDescent="0.25">
      <c r="O81" s="1"/>
    </row>
    <row r="82" spans="15:15" x14ac:dyDescent="0.25">
      <c r="O82" s="1"/>
    </row>
    <row r="83" spans="15:15" x14ac:dyDescent="0.25">
      <c r="O83" s="1"/>
    </row>
    <row r="84" spans="15:15" x14ac:dyDescent="0.25">
      <c r="O84" s="1"/>
    </row>
    <row r="85" spans="15:15" x14ac:dyDescent="0.25">
      <c r="O85" s="1"/>
    </row>
    <row r="86" spans="15:15" x14ac:dyDescent="0.25">
      <c r="O86" s="1"/>
    </row>
    <row r="87" spans="15:15" x14ac:dyDescent="0.25">
      <c r="O87" s="1"/>
    </row>
    <row r="88" spans="15:15" x14ac:dyDescent="0.25">
      <c r="O88" s="1"/>
    </row>
    <row r="89" spans="15:15" x14ac:dyDescent="0.25">
      <c r="O89" s="1"/>
    </row>
    <row r="90" spans="15:15" x14ac:dyDescent="0.25">
      <c r="O90" s="1"/>
    </row>
    <row r="91" spans="15:15" x14ac:dyDescent="0.25">
      <c r="O91" s="1"/>
    </row>
    <row r="92" spans="15:15" x14ac:dyDescent="0.25">
      <c r="O92" s="1"/>
    </row>
    <row r="93" spans="15:15" x14ac:dyDescent="0.25">
      <c r="O93" s="1"/>
    </row>
    <row r="94" spans="15:15" x14ac:dyDescent="0.25">
      <c r="O94" s="1"/>
    </row>
    <row r="95" spans="15:15" x14ac:dyDescent="0.25">
      <c r="O95" s="1"/>
    </row>
    <row r="96" spans="15:15" x14ac:dyDescent="0.25">
      <c r="O96" s="1"/>
    </row>
    <row r="97" spans="15:15" x14ac:dyDescent="0.25">
      <c r="O97" s="1"/>
    </row>
    <row r="98" spans="15:15" x14ac:dyDescent="0.25">
      <c r="O98" s="1"/>
    </row>
    <row r="99" spans="15:15" x14ac:dyDescent="0.25">
      <c r="O99" s="1"/>
    </row>
    <row r="100" spans="15:15" x14ac:dyDescent="0.25">
      <c r="O100" s="1"/>
    </row>
    <row r="101" spans="15:15" x14ac:dyDescent="0.25">
      <c r="O101" s="1"/>
    </row>
    <row r="102" spans="15:15" x14ac:dyDescent="0.25">
      <c r="O102" s="1"/>
    </row>
    <row r="103" spans="15:15" x14ac:dyDescent="0.25">
      <c r="O103" s="1"/>
    </row>
    <row r="104" spans="15:15" x14ac:dyDescent="0.25">
      <c r="O104" s="1"/>
    </row>
    <row r="105" spans="15:15" x14ac:dyDescent="0.25">
      <c r="O105" s="1"/>
    </row>
    <row r="106" spans="15:15" x14ac:dyDescent="0.25">
      <c r="O106" s="1"/>
    </row>
    <row r="107" spans="15:15" x14ac:dyDescent="0.25">
      <c r="O107" s="1"/>
    </row>
    <row r="108" spans="15:15" x14ac:dyDescent="0.25">
      <c r="O108" s="1"/>
    </row>
    <row r="109" spans="15:15" x14ac:dyDescent="0.25">
      <c r="O109" s="1"/>
    </row>
    <row r="110" spans="15:15" x14ac:dyDescent="0.25">
      <c r="O110" s="1"/>
    </row>
    <row r="111" spans="15:15" x14ac:dyDescent="0.25">
      <c r="O111" s="1"/>
    </row>
    <row r="112" spans="15:15" x14ac:dyDescent="0.25">
      <c r="O112" s="1"/>
    </row>
    <row r="113" spans="15:15" x14ac:dyDescent="0.25">
      <c r="O113" s="1"/>
    </row>
    <row r="114" spans="15:15" x14ac:dyDescent="0.25">
      <c r="O114" s="1"/>
    </row>
    <row r="115" spans="15:15" x14ac:dyDescent="0.25">
      <c r="O115" s="1"/>
    </row>
    <row r="116" spans="15:15" x14ac:dyDescent="0.25">
      <c r="O116" s="1"/>
    </row>
    <row r="117" spans="15:15" x14ac:dyDescent="0.25">
      <c r="O117" s="1"/>
    </row>
    <row r="118" spans="15:15" x14ac:dyDescent="0.25">
      <c r="O118" s="1"/>
    </row>
    <row r="119" spans="15:15" x14ac:dyDescent="0.25">
      <c r="O119" s="1"/>
    </row>
    <row r="120" spans="15:15" x14ac:dyDescent="0.25">
      <c r="O120" s="1"/>
    </row>
    <row r="121" spans="15:15" x14ac:dyDescent="0.25">
      <c r="O121" s="1"/>
    </row>
    <row r="122" spans="15:15" x14ac:dyDescent="0.25">
      <c r="O122" s="1"/>
    </row>
    <row r="123" spans="15:15" x14ac:dyDescent="0.25">
      <c r="O123" s="1"/>
    </row>
    <row r="124" spans="15:15" x14ac:dyDescent="0.25">
      <c r="O124" s="1"/>
    </row>
    <row r="125" spans="15:15" x14ac:dyDescent="0.25">
      <c r="O125" s="1"/>
    </row>
    <row r="126" spans="15:15" x14ac:dyDescent="0.25">
      <c r="O126" s="1"/>
    </row>
    <row r="127" spans="15:15" x14ac:dyDescent="0.25">
      <c r="O127" s="1"/>
    </row>
    <row r="128" spans="15:15" x14ac:dyDescent="0.25">
      <c r="O128" s="1"/>
    </row>
    <row r="129" spans="15:15" x14ac:dyDescent="0.25">
      <c r="O129" s="1"/>
    </row>
    <row r="130" spans="15:15" x14ac:dyDescent="0.25">
      <c r="O130" s="1"/>
    </row>
    <row r="131" spans="15:15" x14ac:dyDescent="0.25">
      <c r="O131" s="1"/>
    </row>
    <row r="132" spans="15:15" x14ac:dyDescent="0.25">
      <c r="O132" s="1"/>
    </row>
    <row r="133" spans="15:15" x14ac:dyDescent="0.25">
      <c r="O133" s="1"/>
    </row>
    <row r="134" spans="15:15" x14ac:dyDescent="0.25">
      <c r="O134" s="1"/>
    </row>
    <row r="135" spans="15:15" x14ac:dyDescent="0.25">
      <c r="O135" s="1"/>
    </row>
    <row r="136" spans="15:15" x14ac:dyDescent="0.25">
      <c r="O136" s="1"/>
    </row>
    <row r="137" spans="15:15" x14ac:dyDescent="0.25">
      <c r="O137" s="1"/>
    </row>
    <row r="138" spans="15:15" x14ac:dyDescent="0.25">
      <c r="O138" s="1"/>
    </row>
    <row r="139" spans="15:15" x14ac:dyDescent="0.25">
      <c r="O139" s="1"/>
    </row>
    <row r="140" spans="15:15" x14ac:dyDescent="0.25">
      <c r="O140" s="1"/>
    </row>
    <row r="141" spans="15:15" x14ac:dyDescent="0.25">
      <c r="O141" s="1"/>
    </row>
    <row r="142" spans="15:15" x14ac:dyDescent="0.25">
      <c r="O142" s="1"/>
    </row>
    <row r="143" spans="15:15" x14ac:dyDescent="0.25">
      <c r="O143" s="1"/>
    </row>
    <row r="144" spans="15:15" x14ac:dyDescent="0.25">
      <c r="O144" s="1"/>
    </row>
    <row r="145" spans="15:15" x14ac:dyDescent="0.25">
      <c r="O145" s="1"/>
    </row>
    <row r="146" spans="15:15" x14ac:dyDescent="0.25">
      <c r="O146" s="1"/>
    </row>
    <row r="147" spans="15:15" x14ac:dyDescent="0.25">
      <c r="O147" s="1"/>
    </row>
    <row r="148" spans="15:15" x14ac:dyDescent="0.25">
      <c r="O148" s="1"/>
    </row>
    <row r="149" spans="15:15" x14ac:dyDescent="0.25">
      <c r="O149" s="1"/>
    </row>
    <row r="150" spans="15:15" x14ac:dyDescent="0.25">
      <c r="O150" s="1"/>
    </row>
    <row r="151" spans="15:15" x14ac:dyDescent="0.25">
      <c r="O151" s="1"/>
    </row>
    <row r="152" spans="15:15" x14ac:dyDescent="0.25">
      <c r="O152" s="1"/>
    </row>
    <row r="153" spans="15:15" x14ac:dyDescent="0.25">
      <c r="O153" s="1"/>
    </row>
    <row r="154" spans="15:15" x14ac:dyDescent="0.25">
      <c r="O154" s="1"/>
    </row>
    <row r="155" spans="15:15" x14ac:dyDescent="0.25">
      <c r="O155" s="1"/>
    </row>
    <row r="156" spans="15:15" x14ac:dyDescent="0.25">
      <c r="O156" s="1"/>
    </row>
    <row r="157" spans="15:15" x14ac:dyDescent="0.25">
      <c r="O157" s="1"/>
    </row>
    <row r="158" spans="15:15" x14ac:dyDescent="0.25">
      <c r="O158" s="1"/>
    </row>
    <row r="159" spans="15:15" x14ac:dyDescent="0.25">
      <c r="O159" s="1"/>
    </row>
    <row r="160" spans="15:15" x14ac:dyDescent="0.25">
      <c r="O160" s="1"/>
    </row>
    <row r="161" spans="15:15" x14ac:dyDescent="0.25">
      <c r="O161" s="1"/>
    </row>
    <row r="162" spans="15:15" x14ac:dyDescent="0.25">
      <c r="O162" s="1"/>
    </row>
    <row r="163" spans="15:15" x14ac:dyDescent="0.25">
      <c r="O163" s="1"/>
    </row>
    <row r="164" spans="15:15" x14ac:dyDescent="0.25">
      <c r="O164" s="1"/>
    </row>
    <row r="165" spans="15:15" x14ac:dyDescent="0.25">
      <c r="O165" s="1"/>
    </row>
    <row r="166" spans="15:15" x14ac:dyDescent="0.25">
      <c r="O166" s="1"/>
    </row>
    <row r="167" spans="15:15" x14ac:dyDescent="0.25">
      <c r="O167" s="1"/>
    </row>
    <row r="168" spans="15:15" x14ac:dyDescent="0.25">
      <c r="O168" s="1"/>
    </row>
    <row r="169" spans="15:15" x14ac:dyDescent="0.25">
      <c r="O169" s="1"/>
    </row>
    <row r="170" spans="15:15" x14ac:dyDescent="0.25">
      <c r="O170" s="1"/>
    </row>
    <row r="171" spans="15:15" x14ac:dyDescent="0.25">
      <c r="O171" s="1"/>
    </row>
    <row r="172" spans="15:15" x14ac:dyDescent="0.25">
      <c r="O172" s="1"/>
    </row>
    <row r="173" spans="15:15" x14ac:dyDescent="0.25">
      <c r="O173" s="1"/>
    </row>
    <row r="174" spans="15:15" x14ac:dyDescent="0.25">
      <c r="O174" s="1"/>
    </row>
    <row r="175" spans="15:15" x14ac:dyDescent="0.25">
      <c r="O175" s="1"/>
    </row>
    <row r="176" spans="15:15" x14ac:dyDescent="0.25">
      <c r="O176" s="1"/>
    </row>
    <row r="177" spans="15:15" x14ac:dyDescent="0.25">
      <c r="O177" s="1"/>
    </row>
    <row r="178" spans="15:15" x14ac:dyDescent="0.25">
      <c r="O178" s="1"/>
    </row>
    <row r="179" spans="15:15" x14ac:dyDescent="0.25">
      <c r="O179" s="1"/>
    </row>
    <row r="180" spans="15:15" x14ac:dyDescent="0.25">
      <c r="O180" s="1"/>
    </row>
    <row r="181" spans="15:15" x14ac:dyDescent="0.25">
      <c r="O181" s="1"/>
    </row>
    <row r="182" spans="15:15" x14ac:dyDescent="0.25">
      <c r="O182" s="1"/>
    </row>
    <row r="183" spans="15:15" x14ac:dyDescent="0.25">
      <c r="O183" s="1"/>
    </row>
    <row r="184" spans="15:15" x14ac:dyDescent="0.25">
      <c r="O184" s="1"/>
    </row>
    <row r="185" spans="15:15" x14ac:dyDescent="0.25">
      <c r="O185" s="1"/>
    </row>
    <row r="186" spans="15:15" x14ac:dyDescent="0.25">
      <c r="O186" s="1"/>
    </row>
    <row r="187" spans="15:15" x14ac:dyDescent="0.25">
      <c r="O187" s="1"/>
    </row>
    <row r="188" spans="15:15" x14ac:dyDescent="0.25">
      <c r="O188" s="1"/>
    </row>
    <row r="189" spans="15:15" x14ac:dyDescent="0.25">
      <c r="O189" s="1"/>
    </row>
    <row r="190" spans="15:15" x14ac:dyDescent="0.25">
      <c r="O190" s="1"/>
    </row>
    <row r="191" spans="15:15" x14ac:dyDescent="0.25">
      <c r="O191" s="1"/>
    </row>
    <row r="192" spans="15:15" x14ac:dyDescent="0.25">
      <c r="O192" s="1"/>
    </row>
    <row r="193" spans="15:15" x14ac:dyDescent="0.25">
      <c r="O193" s="1"/>
    </row>
    <row r="194" spans="15:15" x14ac:dyDescent="0.25">
      <c r="O194" s="1"/>
    </row>
    <row r="195" spans="15:15" x14ac:dyDescent="0.25">
      <c r="O195" s="1"/>
    </row>
    <row r="196" spans="15:15" x14ac:dyDescent="0.25">
      <c r="O196" s="1"/>
    </row>
    <row r="197" spans="15:15" x14ac:dyDescent="0.25">
      <c r="O197" s="1"/>
    </row>
    <row r="198" spans="15:15" x14ac:dyDescent="0.25">
      <c r="O198" s="1"/>
    </row>
    <row r="199" spans="15:15" x14ac:dyDescent="0.25">
      <c r="O199" s="1"/>
    </row>
    <row r="200" spans="15:15" x14ac:dyDescent="0.25">
      <c r="O200" s="1"/>
    </row>
    <row r="201" spans="15:15" x14ac:dyDescent="0.25">
      <c r="O201" s="1"/>
    </row>
    <row r="202" spans="15:15" x14ac:dyDescent="0.25">
      <c r="O202" s="1"/>
    </row>
    <row r="203" spans="15:15" x14ac:dyDescent="0.25">
      <c r="O203" s="1"/>
    </row>
    <row r="204" spans="15:15" x14ac:dyDescent="0.25">
      <c r="O204" s="1"/>
    </row>
    <row r="205" spans="15:15" x14ac:dyDescent="0.25">
      <c r="O205" s="1"/>
    </row>
    <row r="206" spans="15:15" x14ac:dyDescent="0.25">
      <c r="O206" s="1"/>
    </row>
    <row r="207" spans="15:15" x14ac:dyDescent="0.25">
      <c r="O207" s="1"/>
    </row>
    <row r="208" spans="15:15" x14ac:dyDescent="0.25">
      <c r="O208" s="1"/>
    </row>
    <row r="209" spans="15:15" x14ac:dyDescent="0.25">
      <c r="O209" s="1"/>
    </row>
    <row r="210" spans="15:15" x14ac:dyDescent="0.25">
      <c r="O210" s="1"/>
    </row>
    <row r="211" spans="15:15" x14ac:dyDescent="0.25">
      <c r="O211" s="1"/>
    </row>
    <row r="212" spans="15:15" x14ac:dyDescent="0.25">
      <c r="O212" s="1"/>
    </row>
    <row r="213" spans="15:15" x14ac:dyDescent="0.25">
      <c r="O213" s="1"/>
    </row>
    <row r="214" spans="15:15" x14ac:dyDescent="0.25">
      <c r="O214" s="1"/>
    </row>
    <row r="215" spans="15:15" x14ac:dyDescent="0.25">
      <c r="O215" s="1"/>
    </row>
    <row r="216" spans="15:15" x14ac:dyDescent="0.25">
      <c r="O216" s="1"/>
    </row>
    <row r="217" spans="15:15" x14ac:dyDescent="0.25">
      <c r="O217" s="1"/>
    </row>
    <row r="218" spans="15:15" x14ac:dyDescent="0.25">
      <c r="O218" s="1"/>
    </row>
    <row r="219" spans="15:15" x14ac:dyDescent="0.25">
      <c r="O219" s="1"/>
    </row>
    <row r="220" spans="15:15" x14ac:dyDescent="0.25">
      <c r="O220" s="1"/>
    </row>
    <row r="221" spans="15:15" x14ac:dyDescent="0.25">
      <c r="O221" s="1"/>
    </row>
    <row r="222" spans="15:15" x14ac:dyDescent="0.25">
      <c r="O222" s="1"/>
    </row>
    <row r="223" spans="15:15" x14ac:dyDescent="0.25">
      <c r="O223" s="1"/>
    </row>
    <row r="224" spans="15:15" x14ac:dyDescent="0.25">
      <c r="O224" s="1"/>
    </row>
    <row r="225" spans="15:15" x14ac:dyDescent="0.25">
      <c r="O225" s="1"/>
    </row>
    <row r="226" spans="15:15" x14ac:dyDescent="0.25">
      <c r="O226" s="1"/>
    </row>
    <row r="227" spans="15:15" x14ac:dyDescent="0.25">
      <c r="O227" s="1"/>
    </row>
    <row r="228" spans="15:15" x14ac:dyDescent="0.25">
      <c r="O228" s="1"/>
    </row>
    <row r="229" spans="15:15" x14ac:dyDescent="0.25">
      <c r="O229" s="1"/>
    </row>
    <row r="230" spans="15:15" x14ac:dyDescent="0.25">
      <c r="O230" s="1"/>
    </row>
    <row r="231" spans="15:15" x14ac:dyDescent="0.25">
      <c r="O231" s="1"/>
    </row>
    <row r="232" spans="15:15" x14ac:dyDescent="0.25">
      <c r="O232" s="1"/>
    </row>
    <row r="233" spans="15:15" x14ac:dyDescent="0.25">
      <c r="O233" s="1"/>
    </row>
    <row r="234" spans="15:15" x14ac:dyDescent="0.25">
      <c r="O234" s="1"/>
    </row>
    <row r="235" spans="15:15" x14ac:dyDescent="0.25">
      <c r="O235" s="1"/>
    </row>
    <row r="236" spans="15:15" x14ac:dyDescent="0.25">
      <c r="O236" s="1"/>
    </row>
    <row r="237" spans="15:15" x14ac:dyDescent="0.25">
      <c r="O237" s="1"/>
    </row>
    <row r="238" spans="15:15" x14ac:dyDescent="0.25">
      <c r="O238" s="1"/>
    </row>
    <row r="239" spans="15:15" x14ac:dyDescent="0.25">
      <c r="O239" s="1"/>
    </row>
    <row r="240" spans="15:15" x14ac:dyDescent="0.25">
      <c r="O240" s="1"/>
    </row>
    <row r="241" spans="15:15" x14ac:dyDescent="0.25">
      <c r="O241" s="1"/>
    </row>
    <row r="242" spans="15:15" x14ac:dyDescent="0.25">
      <c r="O242" s="1"/>
    </row>
    <row r="243" spans="15:15" x14ac:dyDescent="0.25">
      <c r="O243" s="1"/>
    </row>
    <row r="244" spans="15:15" x14ac:dyDescent="0.25">
      <c r="O244" s="1"/>
    </row>
    <row r="245" spans="15:15" x14ac:dyDescent="0.25">
      <c r="O245" s="1"/>
    </row>
    <row r="246" spans="15:15" x14ac:dyDescent="0.25">
      <c r="O246" s="1"/>
    </row>
    <row r="247" spans="15:15" x14ac:dyDescent="0.25">
      <c r="O247" s="1"/>
    </row>
    <row r="248" spans="15:15" x14ac:dyDescent="0.25">
      <c r="O248" s="1"/>
    </row>
    <row r="249" spans="15:15" x14ac:dyDescent="0.25">
      <c r="O249" s="1"/>
    </row>
    <row r="250" spans="15:15" x14ac:dyDescent="0.25">
      <c r="O250" s="1"/>
    </row>
    <row r="251" spans="15:15" x14ac:dyDescent="0.25">
      <c r="O251" s="1"/>
    </row>
    <row r="252" spans="15:15" x14ac:dyDescent="0.25">
      <c r="O252" s="1"/>
    </row>
    <row r="253" spans="15:15" x14ac:dyDescent="0.25">
      <c r="O253" s="1"/>
    </row>
    <row r="254" spans="15:15" x14ac:dyDescent="0.25">
      <c r="O254" s="1"/>
    </row>
    <row r="255" spans="15:15" x14ac:dyDescent="0.25">
      <c r="O255" s="1"/>
    </row>
    <row r="256" spans="15:15" x14ac:dyDescent="0.25">
      <c r="O256" s="1"/>
    </row>
    <row r="257" spans="15:15" x14ac:dyDescent="0.25">
      <c r="O257" s="1"/>
    </row>
    <row r="258" spans="15:15" x14ac:dyDescent="0.25">
      <c r="O258" s="1"/>
    </row>
    <row r="259" spans="15:15" x14ac:dyDescent="0.25">
      <c r="O259" s="1"/>
    </row>
    <row r="260" spans="15:15" x14ac:dyDescent="0.25">
      <c r="O260" s="1"/>
    </row>
    <row r="261" spans="15:15" x14ac:dyDescent="0.25">
      <c r="O261" s="1"/>
    </row>
    <row r="262" spans="15:15" x14ac:dyDescent="0.25">
      <c r="O262" s="1"/>
    </row>
    <row r="263" spans="15:15" x14ac:dyDescent="0.25">
      <c r="O263" s="1"/>
    </row>
    <row r="264" spans="15:15" x14ac:dyDescent="0.25">
      <c r="O264" s="1"/>
    </row>
    <row r="265" spans="15:15" x14ac:dyDescent="0.25">
      <c r="O265" s="1"/>
    </row>
    <row r="266" spans="15:15" x14ac:dyDescent="0.25">
      <c r="O266" s="1"/>
    </row>
    <row r="267" spans="15:15" x14ac:dyDescent="0.25">
      <c r="O267" s="1"/>
    </row>
    <row r="268" spans="15:15" x14ac:dyDescent="0.25">
      <c r="O268" s="1"/>
    </row>
    <row r="269" spans="15:15" x14ac:dyDescent="0.25">
      <c r="O269" s="1"/>
    </row>
    <row r="270" spans="15:15" x14ac:dyDescent="0.25">
      <c r="O270" s="1"/>
    </row>
    <row r="271" spans="15:15" x14ac:dyDescent="0.25">
      <c r="O271" s="1"/>
    </row>
    <row r="272" spans="15:15" x14ac:dyDescent="0.25">
      <c r="O272" s="1"/>
    </row>
    <row r="273" spans="15:15" x14ac:dyDescent="0.25">
      <c r="O273" s="1"/>
    </row>
    <row r="274" spans="15:15" x14ac:dyDescent="0.25">
      <c r="O274" s="1"/>
    </row>
    <row r="275" spans="15:15" x14ac:dyDescent="0.25">
      <c r="O275" s="1"/>
    </row>
    <row r="276" spans="15:15" x14ac:dyDescent="0.25">
      <c r="O276" s="1"/>
    </row>
    <row r="277" spans="15:15" x14ac:dyDescent="0.25">
      <c r="O277" s="1"/>
    </row>
    <row r="278" spans="15:15" x14ac:dyDescent="0.25">
      <c r="O278" s="1"/>
    </row>
    <row r="279" spans="15:15" x14ac:dyDescent="0.25">
      <c r="O279" s="1"/>
    </row>
    <row r="280" spans="15:15" x14ac:dyDescent="0.25">
      <c r="O280" s="1"/>
    </row>
    <row r="281" spans="15:15" x14ac:dyDescent="0.25">
      <c r="O281" s="1"/>
    </row>
    <row r="282" spans="15:15" x14ac:dyDescent="0.25">
      <c r="O282" s="1"/>
    </row>
    <row r="283" spans="15:15" x14ac:dyDescent="0.25">
      <c r="O283" s="1"/>
    </row>
    <row r="284" spans="15:15" x14ac:dyDescent="0.25">
      <c r="O284" s="1"/>
    </row>
    <row r="285" spans="15:15" x14ac:dyDescent="0.25">
      <c r="O285" s="1"/>
    </row>
    <row r="286" spans="15:15" x14ac:dyDescent="0.25">
      <c r="O286" s="1"/>
    </row>
    <row r="287" spans="15:15" x14ac:dyDescent="0.25">
      <c r="O287" s="1"/>
    </row>
    <row r="288" spans="15:15" x14ac:dyDescent="0.25">
      <c r="O288" s="1"/>
    </row>
    <row r="289" spans="15:15" x14ac:dyDescent="0.25">
      <c r="O289" s="1"/>
    </row>
    <row r="290" spans="15:15" x14ac:dyDescent="0.25">
      <c r="O290" s="1"/>
    </row>
    <row r="291" spans="15:15" x14ac:dyDescent="0.25">
      <c r="O291" s="1"/>
    </row>
    <row r="292" spans="15:15" x14ac:dyDescent="0.25">
      <c r="O292" s="1"/>
    </row>
    <row r="293" spans="15:15" x14ac:dyDescent="0.25">
      <c r="O293" s="1"/>
    </row>
    <row r="294" spans="15:15" x14ac:dyDescent="0.25">
      <c r="O294" s="1"/>
    </row>
    <row r="295" spans="15:15" x14ac:dyDescent="0.25">
      <c r="O295" s="1"/>
    </row>
    <row r="296" spans="15:15" x14ac:dyDescent="0.25">
      <c r="O296" s="1"/>
    </row>
    <row r="297" spans="15:15" x14ac:dyDescent="0.25">
      <c r="O297" s="1"/>
    </row>
    <row r="298" spans="15:15" x14ac:dyDescent="0.25">
      <c r="O298" s="1"/>
    </row>
    <row r="299" spans="15:15" x14ac:dyDescent="0.25">
      <c r="O299" s="1"/>
    </row>
    <row r="300" spans="15:15" x14ac:dyDescent="0.25">
      <c r="O300" s="1"/>
    </row>
    <row r="301" spans="15:15" x14ac:dyDescent="0.25">
      <c r="O301" s="1"/>
    </row>
    <row r="302" spans="15:15" x14ac:dyDescent="0.25">
      <c r="O302" s="1"/>
    </row>
    <row r="303" spans="15:15" x14ac:dyDescent="0.25">
      <c r="O303" s="1"/>
    </row>
    <row r="304" spans="15:15" x14ac:dyDescent="0.25">
      <c r="O304" s="1"/>
    </row>
    <row r="305" spans="15:15" x14ac:dyDescent="0.25">
      <c r="O305" s="1"/>
    </row>
    <row r="306" spans="15:15" x14ac:dyDescent="0.25">
      <c r="O306" s="1"/>
    </row>
    <row r="307" spans="15:15" x14ac:dyDescent="0.25">
      <c r="O307" s="1"/>
    </row>
    <row r="308" spans="15:15" x14ac:dyDescent="0.25">
      <c r="O308" s="1"/>
    </row>
    <row r="309" spans="15:15" x14ac:dyDescent="0.25">
      <c r="O309" s="1"/>
    </row>
    <row r="310" spans="15:15" x14ac:dyDescent="0.25">
      <c r="O310" s="1"/>
    </row>
    <row r="311" spans="15:15" x14ac:dyDescent="0.25">
      <c r="O311" s="1"/>
    </row>
    <row r="312" spans="15:15" x14ac:dyDescent="0.25">
      <c r="O312" s="1"/>
    </row>
    <row r="313" spans="15:15" x14ac:dyDescent="0.25">
      <c r="O3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A20D-0A8A-4E08-ABE0-6D648D4CDCFA}">
  <sheetPr>
    <tabColor theme="3" tint="0.89999084444715716"/>
  </sheetPr>
  <dimension ref="A1:J35"/>
  <sheetViews>
    <sheetView zoomScale="96" zoomScaleNormal="70" workbookViewId="0">
      <selection activeCell="B29" sqref="B29"/>
    </sheetView>
  </sheetViews>
  <sheetFormatPr defaultRowHeight="15" x14ac:dyDescent="0.25"/>
  <cols>
    <col min="1" max="1" width="39.140625" bestFit="1" customWidth="1"/>
    <col min="2" max="2" width="39.140625" customWidth="1"/>
    <col min="3" max="3" width="19.28515625" customWidth="1"/>
    <col min="4" max="4" width="19.28515625" bestFit="1" customWidth="1"/>
    <col min="5" max="5" width="19.28515625" customWidth="1"/>
    <col min="6" max="7" width="19.28515625" bestFit="1" customWidth="1"/>
    <col min="8" max="8" width="19.28515625" customWidth="1"/>
    <col min="9" max="9" width="21.5703125" bestFit="1" customWidth="1"/>
    <col min="10" max="10" width="21" bestFit="1" customWidth="1"/>
  </cols>
  <sheetData>
    <row r="1" spans="1:10" x14ac:dyDescent="0.25">
      <c r="A1" t="s">
        <v>63</v>
      </c>
    </row>
    <row r="2" spans="1:10" x14ac:dyDescent="0.25">
      <c r="C2" t="s">
        <v>12</v>
      </c>
      <c r="F2" t="s">
        <v>88</v>
      </c>
      <c r="I2" t="s">
        <v>95</v>
      </c>
    </row>
    <row r="3" spans="1:10" x14ac:dyDescent="0.25">
      <c r="A3" t="s">
        <v>1</v>
      </c>
      <c r="B3" t="s">
        <v>1</v>
      </c>
      <c r="C3" t="s">
        <v>13</v>
      </c>
      <c r="D3" t="s">
        <v>87</v>
      </c>
      <c r="F3" t="s">
        <v>13</v>
      </c>
      <c r="G3" t="s">
        <v>87</v>
      </c>
      <c r="I3" t="s">
        <v>13</v>
      </c>
      <c r="J3" t="s">
        <v>87</v>
      </c>
    </row>
    <row r="4" spans="1:10" x14ac:dyDescent="0.25">
      <c r="A4" t="s">
        <v>14</v>
      </c>
      <c r="B4" t="s">
        <v>113</v>
      </c>
      <c r="C4" t="str" cm="1">
        <f t="array" ref="C4">_xlfn.XLOOKUP($A4&amp;C$3&amp;$C$2&amp;$A$1,doses_results!$C$2:$C$400&amp;doses_results!$K$2:$K$400&amp;doses_results!$J$2:$J$400&amp;doses_results!$I$2:$I$400,doses_results!$L$2:$L$400,"",0)</f>
        <v>0.61[0.02,1.19]</v>
      </c>
      <c r="D4" t="str" cm="1">
        <f t="array" ref="D4">_xlfn.XLOOKUP($A4&amp;D$3&amp;$C$2&amp;$A$1,doses_results!$C$2:$C$400&amp;doses_results!$K$2:$K$400&amp;doses_results!$J$2:$J$400&amp;doses_results!$I$2:$I$400,doses_results!$L$2:$L$400,"",0)</f>
        <v>0.45[-0.13,1.04]</v>
      </c>
      <c r="E4" t="str" cm="1">
        <f t="array" ref="E4">_xlfn.XLOOKUP($A4&amp;E$3&amp;$C$2&amp;$A$1,doses_results!$C$2:$C$400&amp;doses_results!$K$2:$K$400&amp;doses_results!$J$2:$J$400&amp;doses_results!$I$2:$I$400,doses_results!$L$2:$L$400,"",0)</f>
        <v/>
      </c>
      <c r="F4" t="str" cm="1">
        <f t="array" ref="F4">_xlfn.XLOOKUP($A4&amp;F$3&amp;$F$2&amp;$A$1,doses_results!$C$2:$C$400&amp;doses_results!$K$2:$K$400&amp;doses_results!$J$2:$J$400&amp;doses_results!$I$2:$I$400,doses_results!$L$2:$L$400,"",0)</f>
        <v>-21.13[-39.07,-3.19]</v>
      </c>
      <c r="G4" t="str" cm="1">
        <f t="array" ref="G4">_xlfn.XLOOKUP($A4&amp;G$3&amp;$F$2&amp;$A$1,doses_results!$C$2:$C$400&amp;doses_results!$K$2:$K$400&amp;doses_results!$J$2:$J$400&amp;doses_results!$I$2:$I$400,doses_results!$L$2:$L$400,"",0)</f>
        <v>-18.83[-36.55,-1.10]</v>
      </c>
      <c r="H4" t="str" cm="1">
        <f t="array" ref="H4">_xlfn.XLOOKUP($A4&amp;H$3&amp;$C$2&amp;$A$1,doses_results!$C$2:$C$400&amp;doses_results!$K$2:$K$400&amp;doses_results!$J$2:$J$400&amp;doses_results!$I$2:$I$400,doses_results!$L$2:$L$400,"",0)</f>
        <v/>
      </c>
      <c r="I4" t="str" cm="1">
        <f t="array" ref="I4">_xlfn.XLOOKUP($A4&amp;I$3&amp;$I$2&amp;$A$1,doses_results!$C$2:$C$400&amp;doses_results!$K$2:$K$400&amp;doses_results!$J$2:$J$400&amp;doses_results!$I$2:$I$400,doses_results!$L$2:$L$400,"",0)</f>
        <v>-16.76[-33.66,0.13]</v>
      </c>
      <c r="J4" t="str" cm="1">
        <f t="array" ref="J4">_xlfn.XLOOKUP($A4&amp;J$3&amp;$I$2&amp;$A$1,doses_results!$C$2:$C$400&amp;doses_results!$K$2:$K$400&amp;doses_results!$J$2:$J$400&amp;doses_results!$I$2:$I$400,doses_results!$L$2:$L$400,"",0)</f>
        <v/>
      </c>
    </row>
    <row r="5" spans="1:10" x14ac:dyDescent="0.25">
      <c r="A5" t="s">
        <v>15</v>
      </c>
      <c r="B5" t="s">
        <v>114</v>
      </c>
      <c r="C5" t="str" cm="1">
        <f t="array" ref="C5">_xlfn.XLOOKUP($A5&amp;C$3&amp;$C$2&amp;$A$1,doses_results!$C$2:$C$400&amp;doses_results!$K$2:$K$400&amp;doses_results!$J$2:$J$400&amp;doses_results!$I$2:$I$400,doses_results!$L$2:$L$400,"",0)</f>
        <v>-1.07[-2.38,0.25]</v>
      </c>
      <c r="D5" t="str" cm="1">
        <f t="array" ref="D5">_xlfn.XLOOKUP($A5&amp;D$3&amp;$C$2&amp;$A$1,doses_results!$C$2:$C$400&amp;doses_results!$K$2:$K$400&amp;doses_results!$J$2:$J$400&amp;doses_results!$I$2:$I$400,doses_results!$L$2:$L$400,"",0)</f>
        <v>-0.80[-2.11,0.52]</v>
      </c>
      <c r="E5" t="str" cm="1">
        <f t="array" ref="E5">_xlfn.XLOOKUP($A5&amp;E$3&amp;$C$2&amp;$A$1,doses_results!$C$2:$C$400&amp;doses_results!$K$2:$K$400&amp;doses_results!$J$2:$J$400&amp;doses_results!$I$2:$I$400,doses_results!$L$2:$L$400,"",0)</f>
        <v/>
      </c>
      <c r="F5" t="str" cm="1">
        <f t="array" ref="F5">_xlfn.XLOOKUP($A5&amp;F$3&amp;$F$2&amp;$A$1,doses_results!$C$2:$C$400&amp;doses_results!$K$2:$K$400&amp;doses_results!$J$2:$J$400&amp;doses_results!$I$2:$I$400,doses_results!$L$2:$L$400,"",0)</f>
        <v/>
      </c>
      <c r="G5" t="str" cm="1">
        <f t="array" ref="G5">_xlfn.XLOOKUP($A5&amp;G$3&amp;$F$2&amp;$A$1,doses_results!$C$2:$C$400&amp;doses_results!$K$2:$K$400&amp;doses_results!$J$2:$J$400&amp;doses_results!$I$2:$I$400,doses_results!$L$2:$L$400,"",0)</f>
        <v/>
      </c>
      <c r="H5" t="str" cm="1">
        <f t="array" ref="H5">_xlfn.XLOOKUP($A5&amp;H$3&amp;$C$2&amp;$A$1,doses_results!$C$2:$C$400&amp;doses_results!$K$2:$K$400&amp;doses_results!$J$2:$J$400&amp;doses_results!$I$2:$I$400,doses_results!$L$2:$L$400,"",0)</f>
        <v/>
      </c>
      <c r="I5" t="str" cm="1">
        <f t="array" ref="I5">_xlfn.XLOOKUP($A5&amp;I$3&amp;$I$2&amp;$A$1,doses_results!$C$2:$C$400&amp;doses_results!$K$2:$K$400&amp;doses_results!$J$2:$J$400&amp;doses_results!$I$2:$I$400,doses_results!$L$2:$L$400,"",0)</f>
        <v/>
      </c>
      <c r="J5" t="str" cm="1">
        <f t="array" ref="J5">_xlfn.XLOOKUP($A5&amp;J$3&amp;$I$2&amp;$A$1,doses_results!$C$2:$C$400&amp;doses_results!$K$2:$K$400&amp;doses_results!$J$2:$J$400&amp;doses_results!$I$2:$I$400,doses_results!$L$2:$L$400,"",0)</f>
        <v>-0.04[-0.41,0.34]</v>
      </c>
    </row>
    <row r="6" spans="1:10" x14ac:dyDescent="0.25">
      <c r="A6" t="s">
        <v>16</v>
      </c>
      <c r="B6" t="s">
        <v>115</v>
      </c>
      <c r="C6" t="str" cm="1">
        <f t="array" ref="C6">_xlfn.XLOOKUP($A6&amp;C$3&amp;$C$2&amp;$A$1,doses_results!$C$2:$C$400&amp;doses_results!$K$2:$K$400&amp;doses_results!$J$2:$J$400&amp;doses_results!$I$2:$I$400,doses_results!$L$2:$L$400,"",0)</f>
        <v>-1.67[-3.29,-0.05]</v>
      </c>
      <c r="D6" t="str" cm="1">
        <f t="array" ref="D6">_xlfn.XLOOKUP($A6&amp;D$3&amp;$C$2&amp;$A$1,doses_results!$C$2:$C$400&amp;doses_results!$K$2:$K$400&amp;doses_results!$J$2:$J$400&amp;doses_results!$I$2:$I$400,doses_results!$L$2:$L$400,"",0)</f>
        <v>-1.59[-3.24,0.05]</v>
      </c>
      <c r="E6" t="str" cm="1">
        <f t="array" ref="E6">_xlfn.XLOOKUP($A6&amp;E$3&amp;$C$2&amp;$A$1,doses_results!$C$2:$C$400&amp;doses_results!$K$2:$K$400&amp;doses_results!$J$2:$J$400&amp;doses_results!$I$2:$I$400,doses_results!$L$2:$L$400,"",0)</f>
        <v/>
      </c>
      <c r="F6" t="str" cm="1">
        <f t="array" ref="F6">_xlfn.XLOOKUP($A6&amp;F$3&amp;$F$2&amp;$A$1,doses_results!$C$2:$C$400&amp;doses_results!$K$2:$K$400&amp;doses_results!$J$2:$J$400&amp;doses_results!$I$2:$I$400,doses_results!$L$2:$L$400,"",0)</f>
        <v>0.04[-0.64,0.73]</v>
      </c>
      <c r="G6" t="str" cm="1">
        <f t="array" ref="G6">_xlfn.XLOOKUP($A6&amp;G$3&amp;$F$2&amp;$A$1,doses_results!$C$2:$C$400&amp;doses_results!$K$2:$K$400&amp;doses_results!$J$2:$J$400&amp;doses_results!$I$2:$I$400,doses_results!$L$2:$L$400,"",0)</f>
        <v>-0.03[-0.73,0.68]</v>
      </c>
      <c r="H6" t="str" cm="1">
        <f t="array" ref="H6">_xlfn.XLOOKUP($A6&amp;H$3&amp;$C$2&amp;$A$1,doses_results!$C$2:$C$400&amp;doses_results!$K$2:$K$400&amp;doses_results!$J$2:$J$400&amp;doses_results!$I$2:$I$400,doses_results!$L$2:$L$400,"",0)</f>
        <v/>
      </c>
      <c r="I6" t="str" cm="1">
        <f t="array" ref="I6">_xlfn.XLOOKUP($A6&amp;I$3&amp;$I$2&amp;$A$1,doses_results!$C$2:$C$400&amp;doses_results!$K$2:$K$400&amp;doses_results!$J$2:$J$400&amp;doses_results!$I$2:$I$400,doses_results!$L$2:$L$400,"",0)</f>
        <v/>
      </c>
      <c r="J6" t="str" cm="1">
        <f t="array" ref="J6">_xlfn.XLOOKUP($A6&amp;J$3&amp;$I$2&amp;$A$1,doses_results!$C$2:$C$400&amp;doses_results!$K$2:$K$400&amp;doses_results!$J$2:$J$400&amp;doses_results!$I$2:$I$400,doses_results!$L$2:$L$400,"",0)</f>
        <v/>
      </c>
    </row>
    <row r="7" spans="1:10" x14ac:dyDescent="0.25">
      <c r="A7" s="2" t="s">
        <v>17</v>
      </c>
      <c r="B7" s="2" t="s">
        <v>116</v>
      </c>
      <c r="C7" s="2" t="str" cm="1">
        <f t="array" ref="C7">_xlfn.XLOOKUP($A7&amp;C$3&amp;$C$2&amp;$A$1,doses_results!$C$2:$C$400&amp;doses_results!$K$2:$K$400&amp;doses_results!$J$2:$J$400&amp;doses_results!$I$2:$I$400,doses_results!$L$2:$L$400,"",0)</f>
        <v>-2.43[-2.88,-1.99]</v>
      </c>
      <c r="D7" s="2" t="str" cm="1">
        <f t="array" ref="D7">_xlfn.XLOOKUP($A7&amp;D$3&amp;$C$2&amp;$A$1,doses_results!$C$2:$C$400&amp;doses_results!$K$2:$K$400&amp;doses_results!$J$2:$J$400&amp;doses_results!$I$2:$I$400,doses_results!$L$2:$L$400,"",0)</f>
        <v>-2.45[-2.89,-2.01]</v>
      </c>
      <c r="E7" s="2" t="str" cm="1">
        <f t="array" ref="E7">_xlfn.XLOOKUP($A7&amp;E$3&amp;$C$2&amp;$A$1,doses_results!$C$2:$C$400&amp;doses_results!$K$2:$K$400&amp;doses_results!$J$2:$J$400&amp;doses_results!$I$2:$I$400,doses_results!$L$2:$L$400,"",0)</f>
        <v/>
      </c>
      <c r="F7" s="2" t="str" cm="1">
        <f t="array" ref="F7">_xlfn.XLOOKUP($A7&amp;F$3&amp;$F$2&amp;$A$1,doses_results!$C$2:$C$400&amp;doses_results!$K$2:$K$400&amp;doses_results!$J$2:$J$400&amp;doses_results!$I$2:$I$400,doses_results!$L$2:$L$400,"",0)</f>
        <v>-2.73[-3.11,-2.34]</v>
      </c>
      <c r="G7" s="2" t="str" cm="1">
        <f t="array" ref="G7">_xlfn.XLOOKUP($A7&amp;G$3&amp;$F$2&amp;$A$1,doses_results!$C$2:$C$400&amp;doses_results!$K$2:$K$400&amp;doses_results!$J$2:$J$400&amp;doses_results!$I$2:$I$400,doses_results!$L$2:$L$400,"",0)</f>
        <v>-2.69[-3.08,-2.29]</v>
      </c>
      <c r="H7" s="2" t="str" cm="1">
        <f t="array" ref="H7">_xlfn.XLOOKUP($A7&amp;H$3&amp;$C$2&amp;$A$1,doses_results!$C$2:$C$400&amp;doses_results!$K$2:$K$400&amp;doses_results!$J$2:$J$400&amp;doses_results!$I$2:$I$400,doses_results!$L$2:$L$400,"",0)</f>
        <v/>
      </c>
      <c r="I7" s="2" t="str" cm="1">
        <f t="array" ref="I7">_xlfn.XLOOKUP($A7&amp;I$3&amp;$I$2&amp;$A$1,doses_results!$C$2:$C$400&amp;doses_results!$K$2:$K$400&amp;doses_results!$J$2:$J$400&amp;doses_results!$I$2:$I$400,doses_results!$L$2:$L$400,"",0)</f>
        <v>-2.61[-2.98,-2.24]</v>
      </c>
      <c r="J7" s="2" t="str" cm="1">
        <f t="array" ref="J7">_xlfn.XLOOKUP($A7&amp;J$3&amp;$I$2&amp;$A$1,doses_results!$C$2:$C$400&amp;doses_results!$K$2:$K$400&amp;doses_results!$J$2:$J$400&amp;doses_results!$I$2:$I$400,doses_results!$L$2:$L$400,"",0)</f>
        <v>-2.38[-2.78,-1.97]</v>
      </c>
    </row>
    <row r="8" spans="1:10" x14ac:dyDescent="0.25">
      <c r="A8" t="s">
        <v>18</v>
      </c>
      <c r="B8" t="s">
        <v>118</v>
      </c>
      <c r="C8" t="str" cm="1">
        <f t="array" ref="C8">_xlfn.XLOOKUP($A8&amp;C$3&amp;$C$2&amp;$A$1,doses_results!$C$2:$C$400&amp;doses_results!$K$2:$K$400&amp;doses_results!$J$2:$J$400&amp;doses_results!$I$2:$I$400,doses_results!$L$2:$L$400,"",0)</f>
        <v>-0.23[-0.61,0.16]</v>
      </c>
      <c r="D8" t="str" cm="1">
        <f t="array" ref="D8">_xlfn.XLOOKUP($A8&amp;D$3&amp;$C$2&amp;$A$1,doses_results!$C$2:$C$400&amp;doses_results!$K$2:$K$400&amp;doses_results!$J$2:$J$400&amp;doses_results!$I$2:$I$400,doses_results!$L$2:$L$400,"",0)</f>
        <v>-0.22[-0.60,0.16]</v>
      </c>
      <c r="E8" t="str" cm="1">
        <f t="array" ref="E8">_xlfn.XLOOKUP($A8&amp;E$3&amp;$C$2&amp;$A$1,doses_results!$C$2:$C$400&amp;doses_results!$K$2:$K$400&amp;doses_results!$J$2:$J$400&amp;doses_results!$I$2:$I$400,doses_results!$L$2:$L$400,"",0)</f>
        <v/>
      </c>
      <c r="F8" t="str" cm="1">
        <f t="array" ref="F8">_xlfn.XLOOKUP($A8&amp;F$3&amp;$F$2&amp;$A$1,doses_results!$C$2:$C$400&amp;doses_results!$K$2:$K$400&amp;doses_results!$J$2:$J$400&amp;doses_results!$I$2:$I$400,doses_results!$L$2:$L$400,"",0)</f>
        <v/>
      </c>
      <c r="G8" t="str" cm="1">
        <f t="array" ref="G8">_xlfn.XLOOKUP($A8&amp;G$3&amp;$F$2&amp;$A$1,doses_results!$C$2:$C$400&amp;doses_results!$K$2:$K$400&amp;doses_results!$J$2:$J$400&amp;doses_results!$I$2:$I$400,doses_results!$L$2:$L$400,"",0)</f>
        <v/>
      </c>
      <c r="H8" t="str" cm="1">
        <f t="array" ref="H8">_xlfn.XLOOKUP($A8&amp;H$3&amp;$C$2&amp;$A$1,doses_results!$C$2:$C$400&amp;doses_results!$K$2:$K$400&amp;doses_results!$J$2:$J$400&amp;doses_results!$I$2:$I$400,doses_results!$L$2:$L$400,"",0)</f>
        <v/>
      </c>
      <c r="I8" t="str" cm="1">
        <f t="array" ref="I8">_xlfn.XLOOKUP($A8&amp;I$3&amp;$I$2&amp;$A$1,doses_results!$C$2:$C$400&amp;doses_results!$K$2:$K$400&amp;doses_results!$J$2:$J$400&amp;doses_results!$I$2:$I$400,doses_results!$L$2:$L$400,"",0)</f>
        <v/>
      </c>
      <c r="J8" t="str" cm="1">
        <f t="array" ref="J8">_xlfn.XLOOKUP($A8&amp;J$3&amp;$I$2&amp;$A$1,doses_results!$C$2:$C$400&amp;doses_results!$K$2:$K$400&amp;doses_results!$J$2:$J$400&amp;doses_results!$I$2:$I$400,doses_results!$L$2:$L$400,"",0)</f>
        <v/>
      </c>
    </row>
    <row r="9" spans="1:10" x14ac:dyDescent="0.25">
      <c r="A9" s="2" t="s">
        <v>19</v>
      </c>
      <c r="B9" s="2" t="s">
        <v>117</v>
      </c>
      <c r="C9" s="2" t="str" cm="1">
        <f t="array" ref="C9">_xlfn.XLOOKUP($A9&amp;C$3&amp;$C$2&amp;$A$1,doses_results!$C$2:$C$400&amp;doses_results!$K$2:$K$400&amp;doses_results!$J$2:$J$400&amp;doses_results!$I$2:$I$400,doses_results!$L$2:$L$400,"",0)</f>
        <v>-1.71[-2.08,-1.34]</v>
      </c>
      <c r="D9" s="2" t="str" cm="1">
        <f t="array" ref="D9">_xlfn.XLOOKUP($A9&amp;D$3&amp;$C$2&amp;$A$1,doses_results!$C$2:$C$400&amp;doses_results!$K$2:$K$400&amp;doses_results!$J$2:$J$400&amp;doses_results!$I$2:$I$400,doses_results!$L$2:$L$400,"",0)</f>
        <v>-1.65[-2.02,-1.29]</v>
      </c>
      <c r="E9" s="2" t="str" cm="1">
        <f t="array" ref="E9">_xlfn.XLOOKUP($A9&amp;E$3&amp;$C$2&amp;$A$1,doses_results!$C$2:$C$400&amp;doses_results!$K$2:$K$400&amp;doses_results!$J$2:$J$400&amp;doses_results!$I$2:$I$400,doses_results!$L$2:$L$400,"",0)</f>
        <v/>
      </c>
      <c r="F9" s="2" t="str" cm="1">
        <f t="array" ref="F9">_xlfn.XLOOKUP($A9&amp;F$3&amp;$F$2&amp;$A$1,doses_results!$C$2:$C$400&amp;doses_results!$K$2:$K$400&amp;doses_results!$J$2:$J$400&amp;doses_results!$I$2:$I$400,doses_results!$L$2:$L$400,"",0)</f>
        <v>-1.94[-2.30,-1.59]</v>
      </c>
      <c r="G9" s="2" t="str" cm="1">
        <f t="array" ref="G9">_xlfn.XLOOKUP($A9&amp;G$3&amp;$F$2&amp;$A$1,doses_results!$C$2:$C$400&amp;doses_results!$K$2:$K$400&amp;doses_results!$J$2:$J$400&amp;doses_results!$I$2:$I$400,doses_results!$L$2:$L$400,"",0)</f>
        <v>-1.90[-2.25,-1.55]</v>
      </c>
      <c r="H9" s="2" t="str" cm="1">
        <f t="array" ref="H9">_xlfn.XLOOKUP($A9&amp;H$3&amp;$C$2&amp;$A$1,doses_results!$C$2:$C$400&amp;doses_results!$K$2:$K$400&amp;doses_results!$J$2:$J$400&amp;doses_results!$I$2:$I$400,doses_results!$L$2:$L$400,"",0)</f>
        <v/>
      </c>
      <c r="I9" s="2" t="str" cm="1">
        <f t="array" ref="I9">_xlfn.XLOOKUP($A9&amp;I$3&amp;$I$2&amp;$A$1,doses_results!$C$2:$C$400&amp;doses_results!$K$2:$K$400&amp;doses_results!$J$2:$J$400&amp;doses_results!$I$2:$I$400,doses_results!$L$2:$L$400,"",0)</f>
        <v>-1.78[-2.11,-1.46]</v>
      </c>
      <c r="J9" s="2" t="str" cm="1">
        <f t="array" ref="J9">_xlfn.XLOOKUP($A9&amp;J$3&amp;$I$2&amp;$A$1,doses_results!$C$2:$C$400&amp;doses_results!$K$2:$K$400&amp;doses_results!$J$2:$J$400&amp;doses_results!$I$2:$I$400,doses_results!$L$2:$L$400,"",0)</f>
        <v>-1.90[-2.21,-1.59]</v>
      </c>
    </row>
    <row r="10" spans="1:10" x14ac:dyDescent="0.25">
      <c r="A10" s="2" t="s">
        <v>20</v>
      </c>
      <c r="B10" s="2" t="s">
        <v>137</v>
      </c>
      <c r="C10" s="2" t="str" cm="1">
        <f t="array" ref="C10">_xlfn.XLOOKUP($A10&amp;C$3&amp;$C$2&amp;$A$1,doses_results!$C$2:$C$400&amp;doses_results!$K$2:$K$400&amp;doses_results!$J$2:$J$400&amp;doses_results!$I$2:$I$400,doses_results!$L$2:$L$400,"",0)</f>
        <v>-1.18[-1.72,-0.65]</v>
      </c>
      <c r="D10" s="2" t="str" cm="1">
        <f t="array" ref="D10">_xlfn.XLOOKUP($A10&amp;D$3&amp;$C$2&amp;$A$1,doses_results!$C$2:$C$400&amp;doses_results!$K$2:$K$400&amp;doses_results!$J$2:$J$400&amp;doses_results!$I$2:$I$400,doses_results!$L$2:$L$400,"",0)</f>
        <v>-1.18[-1.72,-0.64]</v>
      </c>
      <c r="E10" s="2" t="str" cm="1">
        <f t="array" ref="E10">_xlfn.XLOOKUP($A10&amp;E$3&amp;$C$2&amp;$A$1,doses_results!$C$2:$C$400&amp;doses_results!$K$2:$K$400&amp;doses_results!$J$2:$J$400&amp;doses_results!$I$2:$I$400,doses_results!$L$2:$L$400,"",0)</f>
        <v/>
      </c>
      <c r="F10" s="2" t="str" cm="1">
        <f t="array" ref="F10">_xlfn.XLOOKUP($A10&amp;F$3&amp;$F$2&amp;$A$1,doses_results!$C$2:$C$400&amp;doses_results!$K$2:$K$400&amp;doses_results!$J$2:$J$400&amp;doses_results!$I$2:$I$400,doses_results!$L$2:$L$400,"",0)</f>
        <v>-1.66[-2.10,-1.21]</v>
      </c>
      <c r="G10" s="2" t="str" cm="1">
        <f t="array" ref="G10">_xlfn.XLOOKUP($A10&amp;G$3&amp;$F$2&amp;$A$1,doses_results!$C$2:$C$400&amp;doses_results!$K$2:$K$400&amp;doses_results!$J$2:$J$400&amp;doses_results!$I$2:$I$400,doses_results!$L$2:$L$400,"",0)</f>
        <v>-1.59[-2.04,-1.15]</v>
      </c>
      <c r="H10" s="2" t="str" cm="1">
        <f t="array" ref="H10">_xlfn.XLOOKUP($A10&amp;H$3&amp;$C$2&amp;$A$1,doses_results!$C$2:$C$400&amp;doses_results!$K$2:$K$400&amp;doses_results!$J$2:$J$400&amp;doses_results!$I$2:$I$400,doses_results!$L$2:$L$400,"",0)</f>
        <v/>
      </c>
      <c r="I10" s="2" t="str" cm="1">
        <f t="array" ref="I10">_xlfn.XLOOKUP($A10&amp;I$3&amp;$I$2&amp;$A$1,doses_results!$C$2:$C$400&amp;doses_results!$K$2:$K$400&amp;doses_results!$J$2:$J$400&amp;doses_results!$I$2:$I$400,doses_results!$L$2:$L$400,"",0)</f>
        <v>-1.68[-2.12,-1.25]</v>
      </c>
      <c r="J10" s="2" t="str" cm="1">
        <f t="array" ref="J10">_xlfn.XLOOKUP($A10&amp;J$3&amp;$I$2&amp;$A$1,doses_results!$C$2:$C$400&amp;doses_results!$K$2:$K$400&amp;doses_results!$J$2:$J$400&amp;doses_results!$I$2:$I$400,doses_results!$L$2:$L$400,"",0)</f>
        <v>-1.49[-1.90,-1.08]</v>
      </c>
    </row>
    <row r="11" spans="1:10" x14ac:dyDescent="0.25">
      <c r="A11" t="s">
        <v>21</v>
      </c>
      <c r="B11" t="s">
        <v>119</v>
      </c>
      <c r="C11" t="str" cm="1">
        <f t="array" ref="C11">_xlfn.XLOOKUP($A11&amp;C$3&amp;$C$2&amp;$A$1,doses_results!$C$2:$C$400&amp;doses_results!$K$2:$K$400&amp;doses_results!$J$2:$J$400&amp;doses_results!$I$2:$I$400,doses_results!$L$2:$L$400,"",0)</f>
        <v>-0.09[-0.61,0.42]</v>
      </c>
      <c r="D11" t="str" cm="1">
        <f t="array" ref="D11">_xlfn.XLOOKUP($A11&amp;D$3&amp;$C$2&amp;$A$1,doses_results!$C$2:$C$400&amp;doses_results!$K$2:$K$400&amp;doses_results!$J$2:$J$400&amp;doses_results!$I$2:$I$400,doses_results!$L$2:$L$400,"",0)</f>
        <v>-0.09[-0.61,0.42]</v>
      </c>
      <c r="E11" t="str" cm="1">
        <f t="array" ref="E11">_xlfn.XLOOKUP($A11&amp;E$3&amp;$C$2&amp;$A$1,doses_results!$C$2:$C$400&amp;doses_results!$K$2:$K$400&amp;doses_results!$J$2:$J$400&amp;doses_results!$I$2:$I$400,doses_results!$L$2:$L$400,"",0)</f>
        <v/>
      </c>
      <c r="F11" t="str" cm="1">
        <f t="array" ref="F11">_xlfn.XLOOKUP($A11&amp;F$3&amp;$F$2&amp;$A$1,doses_results!$C$2:$C$400&amp;doses_results!$K$2:$K$400&amp;doses_results!$J$2:$J$400&amp;doses_results!$I$2:$I$400,doses_results!$L$2:$L$400,"",0)</f>
        <v/>
      </c>
      <c r="G11" t="str" cm="1">
        <f t="array" ref="G11">_xlfn.XLOOKUP($A11&amp;G$3&amp;$F$2&amp;$A$1,doses_results!$C$2:$C$400&amp;doses_results!$K$2:$K$400&amp;doses_results!$J$2:$J$400&amp;doses_results!$I$2:$I$400,doses_results!$L$2:$L$400,"",0)</f>
        <v/>
      </c>
      <c r="H11" t="str" cm="1">
        <f t="array" ref="H11">_xlfn.XLOOKUP($A11&amp;H$3&amp;$C$2&amp;$A$1,doses_results!$C$2:$C$400&amp;doses_results!$K$2:$K$400&amp;doses_results!$J$2:$J$400&amp;doses_results!$I$2:$I$400,doses_results!$L$2:$L$400,"",0)</f>
        <v/>
      </c>
      <c r="I11" t="str" cm="1">
        <f t="array" ref="I11">_xlfn.XLOOKUP($A11&amp;I$3&amp;$I$2&amp;$A$1,doses_results!$C$2:$C$400&amp;doses_results!$K$2:$K$400&amp;doses_results!$J$2:$J$400&amp;doses_results!$I$2:$I$400,doses_results!$L$2:$L$400,"",0)</f>
        <v/>
      </c>
      <c r="J11" t="str" cm="1">
        <f t="array" ref="J11">_xlfn.XLOOKUP($A11&amp;J$3&amp;$I$2&amp;$A$1,doses_results!$C$2:$C$400&amp;doses_results!$K$2:$K$400&amp;doses_results!$J$2:$J$400&amp;doses_results!$I$2:$I$400,doses_results!$L$2:$L$400,"",0)</f>
        <v/>
      </c>
    </row>
    <row r="12" spans="1:10" x14ac:dyDescent="0.25">
      <c r="A12" t="s">
        <v>22</v>
      </c>
      <c r="B12" t="s">
        <v>120</v>
      </c>
      <c r="C12" t="str" cm="1">
        <f t="array" ref="C12">_xlfn.XLOOKUP($A12&amp;C$3&amp;$C$2&amp;$A$1,doses_results!$C$2:$C$400&amp;doses_results!$K$2:$K$400&amp;doses_results!$J$2:$J$400&amp;doses_results!$I$2:$I$400,doses_results!$L$2:$L$400,"",0)</f>
        <v>0.27[-1.57,2.10]</v>
      </c>
      <c r="D12" t="str" cm="1">
        <f t="array" ref="D12">_xlfn.XLOOKUP($A12&amp;D$3&amp;$C$2&amp;$A$1,doses_results!$C$2:$C$400&amp;doses_results!$K$2:$K$400&amp;doses_results!$J$2:$J$400&amp;doses_results!$I$2:$I$400,doses_results!$L$2:$L$400,"",0)</f>
        <v>0.33[-1.48,2.15]</v>
      </c>
      <c r="E12" t="str" cm="1">
        <f t="array" ref="E12">_xlfn.XLOOKUP($A12&amp;E$3&amp;$C$2&amp;$A$1,doses_results!$C$2:$C$400&amp;doses_results!$K$2:$K$400&amp;doses_results!$J$2:$J$400&amp;doses_results!$I$2:$I$400,doses_results!$L$2:$L$400,"",0)</f>
        <v/>
      </c>
      <c r="F12" t="str" cm="1">
        <f t="array" ref="F12">_xlfn.XLOOKUP($A12&amp;F$3&amp;$F$2&amp;$A$1,doses_results!$C$2:$C$400&amp;doses_results!$K$2:$K$400&amp;doses_results!$J$2:$J$400&amp;doses_results!$I$2:$I$400,doses_results!$L$2:$L$400,"",0)</f>
        <v>-0.70[-2.05,0.65]</v>
      </c>
      <c r="G12" t="str" cm="1">
        <f t="array" ref="G12">_xlfn.XLOOKUP($A12&amp;G$3&amp;$F$2&amp;$A$1,doses_results!$C$2:$C$400&amp;doses_results!$K$2:$K$400&amp;doses_results!$J$2:$J$400&amp;doses_results!$I$2:$I$400,doses_results!$L$2:$L$400,"",0)</f>
        <v>-0.58[-1.93,0.77]</v>
      </c>
      <c r="H12" t="str" cm="1">
        <f t="array" ref="H12">_xlfn.XLOOKUP($A12&amp;H$3&amp;$C$2&amp;$A$1,doses_results!$C$2:$C$400&amp;doses_results!$K$2:$K$400&amp;doses_results!$J$2:$J$400&amp;doses_results!$I$2:$I$400,doses_results!$L$2:$L$400,"",0)</f>
        <v/>
      </c>
      <c r="I12" t="str" cm="1">
        <f t="array" ref="I12">_xlfn.XLOOKUP($A12&amp;I$3&amp;$I$2&amp;$A$1,doses_results!$C$2:$C$400&amp;doses_results!$K$2:$K$400&amp;doses_results!$J$2:$J$400&amp;doses_results!$I$2:$I$400,doses_results!$L$2:$L$400,"",0)</f>
        <v/>
      </c>
      <c r="J12" t="str" cm="1">
        <f t="array" ref="J12">_xlfn.XLOOKUP($A12&amp;J$3&amp;$I$2&amp;$A$1,doses_results!$C$2:$C$400&amp;doses_results!$K$2:$K$400&amp;doses_results!$J$2:$J$400&amp;doses_results!$I$2:$I$400,doses_results!$L$2:$L$400,"",0)</f>
        <v/>
      </c>
    </row>
    <row r="13" spans="1:10" x14ac:dyDescent="0.25">
      <c r="A13" t="s">
        <v>23</v>
      </c>
      <c r="B13" t="s">
        <v>121</v>
      </c>
      <c r="C13" t="str" cm="1">
        <f t="array" ref="C13">_xlfn.XLOOKUP($A13&amp;C$3&amp;$C$2&amp;$A$1,doses_results!$C$2:$C$400&amp;doses_results!$K$2:$K$400&amp;doses_results!$J$2:$J$400&amp;doses_results!$I$2:$I$400,doses_results!$L$2:$L$400,"",0)</f>
        <v>1.90[0.76,3.04]</v>
      </c>
      <c r="D13" t="str" cm="1">
        <f t="array" ref="D13">_xlfn.XLOOKUP($A13&amp;D$3&amp;$C$2&amp;$A$1,doses_results!$C$2:$C$400&amp;doses_results!$K$2:$K$400&amp;doses_results!$J$2:$J$400&amp;doses_results!$I$2:$I$400,doses_results!$L$2:$L$400,"",0)</f>
        <v>2.16[0.99,3.33]</v>
      </c>
      <c r="E13" t="str" cm="1">
        <f t="array" ref="E13">_xlfn.XLOOKUP($A13&amp;E$3&amp;$C$2&amp;$A$1,doses_results!$C$2:$C$400&amp;doses_results!$K$2:$K$400&amp;doses_results!$J$2:$J$400&amp;doses_results!$I$2:$I$400,doses_results!$L$2:$L$400,"",0)</f>
        <v/>
      </c>
      <c r="F13" t="str" cm="1">
        <f t="array" ref="F13">_xlfn.XLOOKUP($A13&amp;F$3&amp;$F$2&amp;$A$1,doses_results!$C$2:$C$400&amp;doses_results!$K$2:$K$400&amp;doses_results!$J$2:$J$400&amp;doses_results!$I$2:$I$400,doses_results!$L$2:$L$400,"",0)</f>
        <v>0.44[-0.98,1.85]</v>
      </c>
      <c r="G13" t="str" cm="1">
        <f t="array" ref="G13">_xlfn.XLOOKUP($A13&amp;G$3&amp;$F$2&amp;$A$1,doses_results!$C$2:$C$400&amp;doses_results!$K$2:$K$400&amp;doses_results!$J$2:$J$400&amp;doses_results!$I$2:$I$400,doses_results!$L$2:$L$400,"",0)</f>
        <v>0.52[-0.91,1.94]</v>
      </c>
      <c r="H13" t="str" cm="1">
        <f t="array" ref="H13">_xlfn.XLOOKUP($A13&amp;H$3&amp;$C$2&amp;$A$1,doses_results!$C$2:$C$400&amp;doses_results!$K$2:$K$400&amp;doses_results!$J$2:$J$400&amp;doses_results!$I$2:$I$400,doses_results!$L$2:$L$400,"",0)</f>
        <v/>
      </c>
      <c r="I13" t="str" cm="1">
        <f t="array" ref="I13">_xlfn.XLOOKUP($A13&amp;I$3&amp;$I$2&amp;$A$1,doses_results!$C$2:$C$400&amp;doses_results!$K$2:$K$400&amp;doses_results!$J$2:$J$400&amp;doses_results!$I$2:$I$400,doses_results!$L$2:$L$400,"",0)</f>
        <v>0.75[-0.23,1.72]</v>
      </c>
      <c r="J13" t="str" cm="1">
        <f t="array" ref="J13">_xlfn.XLOOKUP($A13&amp;J$3&amp;$I$2&amp;$A$1,doses_results!$C$2:$C$400&amp;doses_results!$K$2:$K$400&amp;doses_results!$J$2:$J$400&amp;doses_results!$I$2:$I$400,doses_results!$L$2:$L$400,"",0)</f>
        <v/>
      </c>
    </row>
    <row r="14" spans="1:10" x14ac:dyDescent="0.25">
      <c r="A14" t="s">
        <v>24</v>
      </c>
      <c r="B14" t="s">
        <v>122</v>
      </c>
      <c r="C14" t="str" cm="1">
        <f t="array" ref="C14">_xlfn.XLOOKUP($A14&amp;C$3&amp;$C$2&amp;$A$1,doses_results!$C$2:$C$400&amp;doses_results!$K$2:$K$400&amp;doses_results!$J$2:$J$400&amp;doses_results!$I$2:$I$400,doses_results!$L$2:$L$400,"",0)</f>
        <v>-1.41[-2.23,-0.60]</v>
      </c>
      <c r="D14" t="str" cm="1">
        <f t="array" ref="D14">_xlfn.XLOOKUP($A14&amp;D$3&amp;$C$2&amp;$A$1,doses_results!$C$2:$C$400&amp;doses_results!$K$2:$K$400&amp;doses_results!$J$2:$J$400&amp;doses_results!$I$2:$I$400,doses_results!$L$2:$L$400,"",0)</f>
        <v>-1.22[-2.08,-0.37]</v>
      </c>
      <c r="E14" t="str" cm="1">
        <f t="array" ref="E14">_xlfn.XLOOKUP($A14&amp;E$3&amp;$C$2&amp;$A$1,doses_results!$C$2:$C$400&amp;doses_results!$K$2:$K$400&amp;doses_results!$J$2:$J$400&amp;doses_results!$I$2:$I$400,doses_results!$L$2:$L$400,"",0)</f>
        <v/>
      </c>
      <c r="F14" t="str" cm="1">
        <f t="array" ref="F14">_xlfn.XLOOKUP($A14&amp;F$3&amp;$F$2&amp;$A$1,doses_results!$C$2:$C$400&amp;doses_results!$K$2:$K$400&amp;doses_results!$J$2:$J$400&amp;doses_results!$I$2:$I$400,doses_results!$L$2:$L$400,"",0)</f>
        <v>-0.57[-1.62,0.47]</v>
      </c>
      <c r="G14" t="str" cm="1">
        <f t="array" ref="G14">_xlfn.XLOOKUP($A14&amp;G$3&amp;$F$2&amp;$A$1,doses_results!$C$2:$C$400&amp;doses_results!$K$2:$K$400&amp;doses_results!$J$2:$J$400&amp;doses_results!$I$2:$I$400,doses_results!$L$2:$L$400,"",0)</f>
        <v>-0.67[-1.76,0.42]</v>
      </c>
      <c r="H14" t="str" cm="1">
        <f t="array" ref="H14">_xlfn.XLOOKUP($A14&amp;H$3&amp;$C$2&amp;$A$1,doses_results!$C$2:$C$400&amp;doses_results!$K$2:$K$400&amp;doses_results!$J$2:$J$400&amp;doses_results!$I$2:$I$400,doses_results!$L$2:$L$400,"",0)</f>
        <v/>
      </c>
      <c r="I14" t="str" cm="1">
        <f t="array" ref="I14">_xlfn.XLOOKUP($A14&amp;I$3&amp;$I$2&amp;$A$1,doses_results!$C$2:$C$400&amp;doses_results!$K$2:$K$400&amp;doses_results!$J$2:$J$400&amp;doses_results!$I$2:$I$400,doses_results!$L$2:$L$400,"",0)</f>
        <v/>
      </c>
      <c r="J14" t="str" cm="1">
        <f t="array" ref="J14">_xlfn.XLOOKUP($A14&amp;J$3&amp;$I$2&amp;$A$1,doses_results!$C$2:$C$400&amp;doses_results!$K$2:$K$400&amp;doses_results!$J$2:$J$400&amp;doses_results!$I$2:$I$400,doses_results!$L$2:$L$400,"",0)</f>
        <v/>
      </c>
    </row>
    <row r="15" spans="1:10" x14ac:dyDescent="0.25">
      <c r="A15" t="s">
        <v>25</v>
      </c>
      <c r="B15" t="s">
        <v>123</v>
      </c>
      <c r="C15" t="str" cm="1">
        <f t="array" ref="C15">_xlfn.XLOOKUP($A15&amp;C$3&amp;$C$2&amp;$A$1,doses_results!$C$2:$C$400&amp;doses_results!$K$2:$K$400&amp;doses_results!$J$2:$J$400&amp;doses_results!$I$2:$I$400,doses_results!$L$2:$L$400,"",0)</f>
        <v>-0.06[-0.48,0.35]</v>
      </c>
      <c r="D15" t="str" cm="1">
        <f t="array" ref="D15">_xlfn.XLOOKUP($A15&amp;D$3&amp;$C$2&amp;$A$1,doses_results!$C$2:$C$400&amp;doses_results!$K$2:$K$400&amp;doses_results!$J$2:$J$400&amp;doses_results!$I$2:$I$400,doses_results!$L$2:$L$400,"",0)</f>
        <v>-0.01[-0.42,0.41]</v>
      </c>
      <c r="E15" t="str" cm="1">
        <f t="array" ref="E15">_xlfn.XLOOKUP($A15&amp;E$3&amp;$C$2&amp;$A$1,doses_results!$C$2:$C$400&amp;doses_results!$K$2:$K$400&amp;doses_results!$J$2:$J$400&amp;doses_results!$I$2:$I$400,doses_results!$L$2:$L$400,"",0)</f>
        <v/>
      </c>
      <c r="F15" t="str" cm="1">
        <f t="array" ref="F15">_xlfn.XLOOKUP($A15&amp;F$3&amp;$F$2&amp;$A$1,doses_results!$C$2:$C$400&amp;doses_results!$K$2:$K$400&amp;doses_results!$J$2:$J$400&amp;doses_results!$I$2:$I$400,doses_results!$L$2:$L$400,"",0)</f>
        <v/>
      </c>
      <c r="G15" t="str" cm="1">
        <f t="array" ref="G15">_xlfn.XLOOKUP($A15&amp;G$3&amp;$F$2&amp;$A$1,doses_results!$C$2:$C$400&amp;doses_results!$K$2:$K$400&amp;doses_results!$J$2:$J$400&amp;doses_results!$I$2:$I$400,doses_results!$L$2:$L$400,"",0)</f>
        <v/>
      </c>
      <c r="H15" t="str" cm="1">
        <f t="array" ref="H15">_xlfn.XLOOKUP($A15&amp;H$3&amp;$C$2&amp;$A$1,doses_results!$C$2:$C$400&amp;doses_results!$K$2:$K$400&amp;doses_results!$J$2:$J$400&amp;doses_results!$I$2:$I$400,doses_results!$L$2:$L$400,"",0)</f>
        <v/>
      </c>
      <c r="I15" t="str" cm="1">
        <f t="array" ref="I15">_xlfn.XLOOKUP($A15&amp;I$3&amp;$I$2&amp;$A$1,doses_results!$C$2:$C$400&amp;doses_results!$K$2:$K$400&amp;doses_results!$J$2:$J$400&amp;doses_results!$I$2:$I$400,doses_results!$L$2:$L$400,"",0)</f>
        <v/>
      </c>
      <c r="J15" t="str" cm="1">
        <f t="array" ref="J15">_xlfn.XLOOKUP($A15&amp;J$3&amp;$I$2&amp;$A$1,doses_results!$C$2:$C$400&amp;doses_results!$K$2:$K$400&amp;doses_results!$J$2:$J$400&amp;doses_results!$I$2:$I$400,doses_results!$L$2:$L$400,"",0)</f>
        <v/>
      </c>
    </row>
    <row r="16" spans="1:10" x14ac:dyDescent="0.25">
      <c r="A16" t="s">
        <v>26</v>
      </c>
      <c r="B16" t="s">
        <v>119</v>
      </c>
      <c r="C16" t="str" cm="1">
        <f t="array" ref="C16">_xlfn.XLOOKUP($A16&amp;C$3&amp;$C$2&amp;$A$1,doses_results!$C$2:$C$400&amp;doses_results!$K$2:$K$400&amp;doses_results!$J$2:$J$400&amp;doses_results!$I$2:$I$400,doses_results!$L$2:$L$400,"",0)</f>
        <v>-0.37[-0.72,-0.01]</v>
      </c>
      <c r="D16" t="str" cm="1">
        <f t="array" ref="D16">_xlfn.XLOOKUP($A16&amp;D$3&amp;$C$2&amp;$A$1,doses_results!$C$2:$C$400&amp;doses_results!$K$2:$K$400&amp;doses_results!$J$2:$J$400&amp;doses_results!$I$2:$I$400,doses_results!$L$2:$L$400,"",0)</f>
        <v>-0.24[-0.98,0.50]</v>
      </c>
      <c r="E16" t="str" cm="1">
        <f t="array" ref="E16">_xlfn.XLOOKUP($A16&amp;E$3&amp;$C$2&amp;$A$1,doses_results!$C$2:$C$400&amp;doses_results!$K$2:$K$400&amp;doses_results!$J$2:$J$400&amp;doses_results!$I$2:$I$400,doses_results!$L$2:$L$400,"",0)</f>
        <v/>
      </c>
      <c r="F16" t="str" cm="1">
        <f t="array" ref="F16">_xlfn.XLOOKUP($A16&amp;F$3&amp;$F$2&amp;$A$1,doses_results!$C$2:$C$400&amp;doses_results!$K$2:$K$400&amp;doses_results!$J$2:$J$400&amp;doses_results!$I$2:$I$400,doses_results!$L$2:$L$400,"",0)</f>
        <v/>
      </c>
      <c r="G16" t="str" cm="1">
        <f t="array" ref="G16">_xlfn.XLOOKUP($A16&amp;G$3&amp;$F$2&amp;$A$1,doses_results!$C$2:$C$400&amp;doses_results!$K$2:$K$400&amp;doses_results!$J$2:$J$400&amp;doses_results!$I$2:$I$400,doses_results!$L$2:$L$400,"",0)</f>
        <v/>
      </c>
      <c r="H16" t="str" cm="1">
        <f t="array" ref="H16">_xlfn.XLOOKUP($A16&amp;H$3&amp;$C$2&amp;$A$1,doses_results!$C$2:$C$400&amp;doses_results!$K$2:$K$400&amp;doses_results!$J$2:$J$400&amp;doses_results!$I$2:$I$400,doses_results!$L$2:$L$400,"",0)</f>
        <v/>
      </c>
      <c r="I16" t="str" cm="1">
        <f t="array" ref="I16">_xlfn.XLOOKUP($A16&amp;I$3&amp;$I$2&amp;$A$1,doses_results!$C$2:$C$400&amp;doses_results!$K$2:$K$400&amp;doses_results!$J$2:$J$400&amp;doses_results!$I$2:$I$400,doses_results!$L$2:$L$400,"",0)</f>
        <v/>
      </c>
      <c r="J16" t="str" cm="1">
        <f t="array" ref="J16">_xlfn.XLOOKUP($A16&amp;J$3&amp;$I$2&amp;$A$1,doses_results!$C$2:$C$400&amp;doses_results!$K$2:$K$400&amp;doses_results!$J$2:$J$400&amp;doses_results!$I$2:$I$400,doses_results!$L$2:$L$400,"",0)</f>
        <v/>
      </c>
    </row>
    <row r="17" spans="1:10" x14ac:dyDescent="0.25">
      <c r="A17" t="s">
        <v>27</v>
      </c>
      <c r="B17" t="s">
        <v>124</v>
      </c>
      <c r="C17" t="str" cm="1">
        <f t="array" ref="C17">_xlfn.XLOOKUP($A17&amp;C$3&amp;$C$2&amp;$A$1,doses_results!$C$2:$C$400&amp;doses_results!$K$2:$K$400&amp;doses_results!$J$2:$J$400&amp;doses_results!$I$2:$I$400,doses_results!$L$2:$L$400,"",0)</f>
        <v>-0.56[-0.95,-0.17]</v>
      </c>
      <c r="D17" t="str" cm="1">
        <f t="array" ref="D17">_xlfn.XLOOKUP($A17&amp;D$3&amp;$C$2&amp;$A$1,doses_results!$C$2:$C$400&amp;doses_results!$K$2:$K$400&amp;doses_results!$J$2:$J$400&amp;doses_results!$I$2:$I$400,doses_results!$L$2:$L$400,"",0)</f>
        <v>-0.52[-0.90,-0.13]</v>
      </c>
      <c r="E17" t="str" cm="1">
        <f t="array" ref="E17">_xlfn.XLOOKUP($A17&amp;E$3&amp;$C$2&amp;$A$1,doses_results!$C$2:$C$400&amp;doses_results!$K$2:$K$400&amp;doses_results!$J$2:$J$400&amp;doses_results!$I$2:$I$400,doses_results!$L$2:$L$400,"",0)</f>
        <v/>
      </c>
      <c r="F17" t="str" cm="1">
        <f t="array" ref="F17">_xlfn.XLOOKUP($A17&amp;F$3&amp;$F$2&amp;$A$1,doses_results!$C$2:$C$400&amp;doses_results!$K$2:$K$400&amp;doses_results!$J$2:$J$400&amp;doses_results!$I$2:$I$400,doses_results!$L$2:$L$400,"",0)</f>
        <v>-0.31[-0.68,0.06]</v>
      </c>
      <c r="G17" t="str" cm="1">
        <f t="array" ref="G17">_xlfn.XLOOKUP($A17&amp;G$3&amp;$F$2&amp;$A$1,doses_results!$C$2:$C$400&amp;doses_results!$K$2:$K$400&amp;doses_results!$J$2:$J$400&amp;doses_results!$I$2:$I$400,doses_results!$L$2:$L$400,"",0)</f>
        <v>-0.32[-0.68,0.05]</v>
      </c>
      <c r="H17" t="str" cm="1">
        <f t="array" ref="H17">_xlfn.XLOOKUP($A17&amp;H$3&amp;$C$2&amp;$A$1,doses_results!$C$2:$C$400&amp;doses_results!$K$2:$K$400&amp;doses_results!$J$2:$J$400&amp;doses_results!$I$2:$I$400,doses_results!$L$2:$L$400,"",0)</f>
        <v/>
      </c>
      <c r="I17" t="str" cm="1">
        <f t="array" ref="I17">_xlfn.XLOOKUP($A17&amp;I$3&amp;$I$2&amp;$A$1,doses_results!$C$2:$C$400&amp;doses_results!$K$2:$K$400&amp;doses_results!$J$2:$J$400&amp;doses_results!$I$2:$I$400,doses_results!$L$2:$L$400,"",0)</f>
        <v>-1.04[-1.93,-0.15]</v>
      </c>
      <c r="J17" t="str" cm="1">
        <f t="array" ref="J17">_xlfn.XLOOKUP($A17&amp;J$3&amp;$I$2&amp;$A$1,doses_results!$C$2:$C$400&amp;doses_results!$K$2:$K$400&amp;doses_results!$J$2:$J$400&amp;doses_results!$I$2:$I$400,doses_results!$L$2:$L$400,"",0)</f>
        <v>-1.70[-3.67,0.27]</v>
      </c>
    </row>
    <row r="18" spans="1:10" x14ac:dyDescent="0.25">
      <c r="A18" t="s">
        <v>28</v>
      </c>
      <c r="B18" t="s">
        <v>125</v>
      </c>
      <c r="C18" t="str" cm="1">
        <f t="array" ref="C18">_xlfn.XLOOKUP($A18&amp;C$3&amp;$C$2&amp;$A$1,doses_results!$C$2:$C$400&amp;doses_results!$K$2:$K$400&amp;doses_results!$J$2:$J$400&amp;doses_results!$I$2:$I$400,doses_results!$L$2:$L$400,"",0)</f>
        <v>-0.31[-0.67,0.04]</v>
      </c>
      <c r="D18" t="str" cm="1">
        <f t="array" ref="D18">_xlfn.XLOOKUP($A18&amp;D$3&amp;$C$2&amp;$A$1,doses_results!$C$2:$C$400&amp;doses_results!$K$2:$K$400&amp;doses_results!$J$2:$J$400&amp;doses_results!$I$2:$I$400,doses_results!$L$2:$L$400,"",0)</f>
        <v>-0.38[-0.73,-0.02]</v>
      </c>
      <c r="E18" t="str" cm="1">
        <f t="array" ref="E18">_xlfn.XLOOKUP($A18&amp;E$3&amp;$C$2&amp;$A$1,doses_results!$C$2:$C$400&amp;doses_results!$K$2:$K$400&amp;doses_results!$J$2:$J$400&amp;doses_results!$I$2:$I$400,doses_results!$L$2:$L$400,"",0)</f>
        <v/>
      </c>
      <c r="F18" t="str" cm="1">
        <f t="array" ref="F18">_xlfn.XLOOKUP($A18&amp;F$3&amp;$F$2&amp;$A$1,doses_results!$C$2:$C$400&amp;doses_results!$K$2:$K$400&amp;doses_results!$J$2:$J$400&amp;doses_results!$I$2:$I$400,doses_results!$L$2:$L$400,"",0)</f>
        <v/>
      </c>
      <c r="G18" t="str" cm="1">
        <f t="array" ref="G18">_xlfn.XLOOKUP($A18&amp;G$3&amp;$F$2&amp;$A$1,doses_results!$C$2:$C$400&amp;doses_results!$K$2:$K$400&amp;doses_results!$J$2:$J$400&amp;doses_results!$I$2:$I$400,doses_results!$L$2:$L$400,"",0)</f>
        <v/>
      </c>
      <c r="H18" t="str" cm="1">
        <f t="array" ref="H18">_xlfn.XLOOKUP($A18&amp;H$3&amp;$C$2&amp;$A$1,doses_results!$C$2:$C$400&amp;doses_results!$K$2:$K$400&amp;doses_results!$J$2:$J$400&amp;doses_results!$I$2:$I$400,doses_results!$L$2:$L$400,"",0)</f>
        <v/>
      </c>
      <c r="I18" t="str" cm="1">
        <f t="array" ref="I18">_xlfn.XLOOKUP($A18&amp;I$3&amp;$I$2&amp;$A$1,doses_results!$C$2:$C$400&amp;doses_results!$K$2:$K$400&amp;doses_results!$J$2:$J$400&amp;doses_results!$I$2:$I$400,doses_results!$L$2:$L$400,"",0)</f>
        <v/>
      </c>
      <c r="J18" t="str" cm="1">
        <f t="array" ref="J18">_xlfn.XLOOKUP($A18&amp;J$3&amp;$I$2&amp;$A$1,doses_results!$C$2:$C$400&amp;doses_results!$K$2:$K$400&amp;doses_results!$J$2:$J$400&amp;doses_results!$I$2:$I$400,doses_results!$L$2:$L$400,"",0)</f>
        <v>-0.33[-0.68,0.01]</v>
      </c>
    </row>
    <row r="19" spans="1:10" x14ac:dyDescent="0.25">
      <c r="A19" t="s">
        <v>29</v>
      </c>
      <c r="B19" t="s">
        <v>126</v>
      </c>
      <c r="C19" t="str" cm="1">
        <f t="array" ref="C19">_xlfn.XLOOKUP($A19&amp;C$3&amp;$C$2&amp;$A$1,doses_results!$C$2:$C$400&amp;doses_results!$K$2:$K$400&amp;doses_results!$J$2:$J$400&amp;doses_results!$I$2:$I$400,doses_results!$L$2:$L$400,"",0)</f>
        <v>-0.96[-1.43,-0.48]</v>
      </c>
      <c r="D19" t="str" cm="1">
        <f t="array" ref="D19">_xlfn.XLOOKUP($A19&amp;D$3&amp;$C$2&amp;$A$1,doses_results!$C$2:$C$400&amp;doses_results!$K$2:$K$400&amp;doses_results!$J$2:$J$400&amp;doses_results!$I$2:$I$400,doses_results!$L$2:$L$400,"",0)</f>
        <v>-0.66[-1.16,-0.15]</v>
      </c>
      <c r="E19" t="str" cm="1">
        <f t="array" ref="E19">_xlfn.XLOOKUP($A19&amp;E$3&amp;$C$2&amp;$A$1,doses_results!$C$2:$C$400&amp;doses_results!$K$2:$K$400&amp;doses_results!$J$2:$J$400&amp;doses_results!$I$2:$I$400,doses_results!$L$2:$L$400,"",0)</f>
        <v/>
      </c>
      <c r="F19" t="str" cm="1">
        <f t="array" ref="F19">_xlfn.XLOOKUP($A19&amp;F$3&amp;$F$2&amp;$A$1,doses_results!$C$2:$C$400&amp;doses_results!$K$2:$K$400&amp;doses_results!$J$2:$J$400&amp;doses_results!$I$2:$I$400,doses_results!$L$2:$L$400,"",0)</f>
        <v>-0.57[-0.98,-0.15]</v>
      </c>
      <c r="G19" t="str" cm="1">
        <f t="array" ref="G19">_xlfn.XLOOKUP($A19&amp;G$3&amp;$F$2&amp;$A$1,doses_results!$C$2:$C$400&amp;doses_results!$K$2:$K$400&amp;doses_results!$J$2:$J$400&amp;doses_results!$I$2:$I$400,doses_results!$L$2:$L$400,"",0)</f>
        <v>-0.40[-0.86,0.06]</v>
      </c>
      <c r="H19" t="str" cm="1">
        <f t="array" ref="H19">_xlfn.XLOOKUP($A19&amp;H$3&amp;$C$2&amp;$A$1,doses_results!$C$2:$C$400&amp;doses_results!$K$2:$K$400&amp;doses_results!$J$2:$J$400&amp;doses_results!$I$2:$I$400,doses_results!$L$2:$L$400,"",0)</f>
        <v/>
      </c>
      <c r="I19" t="str" cm="1">
        <f t="array" ref="I19">_xlfn.XLOOKUP($A19&amp;I$3&amp;$I$2&amp;$A$1,doses_results!$C$2:$C$400&amp;doses_results!$K$2:$K$400&amp;doses_results!$J$2:$J$400&amp;doses_results!$I$2:$I$400,doses_results!$L$2:$L$400,"",0)</f>
        <v>-1.07[-1.59,-0.55]</v>
      </c>
      <c r="J19" t="str" cm="1">
        <f t="array" ref="J19">_xlfn.XLOOKUP($A19&amp;J$3&amp;$I$2&amp;$A$1,doses_results!$C$2:$C$400&amp;doses_results!$K$2:$K$400&amp;doses_results!$J$2:$J$400&amp;doses_results!$I$2:$I$400,doses_results!$L$2:$L$400,"",0)</f>
        <v/>
      </c>
    </row>
    <row r="20" spans="1:10" x14ac:dyDescent="0.25">
      <c r="A20" s="8" t="s">
        <v>30</v>
      </c>
      <c r="B20" s="8" t="s">
        <v>127</v>
      </c>
      <c r="C20" t="str" cm="1">
        <f t="array" ref="C20">_xlfn.XLOOKUP($A20&amp;C$3&amp;$C$2&amp;$A$1,doses_results!$C$2:$C$400&amp;doses_results!$K$2:$K$400&amp;doses_results!$J$2:$J$400&amp;doses_results!$I$2:$I$400,doses_results!$L$2:$L$400,"",0)</f>
        <v>-1.38[-3.54,0.78]</v>
      </c>
      <c r="D20" t="str" cm="1">
        <f t="array" ref="D20">_xlfn.XLOOKUP($A20&amp;D$3&amp;$C$2&amp;$A$1,doses_results!$C$2:$C$400&amp;doses_results!$K$2:$K$400&amp;doses_results!$J$2:$J$400&amp;doses_results!$I$2:$I$400,doses_results!$L$2:$L$400,"",0)</f>
        <v>-1.85[-3.99,0.30]</v>
      </c>
      <c r="E20" t="str" cm="1">
        <f t="array" ref="E20">_xlfn.XLOOKUP($A20&amp;E$3&amp;$C$2&amp;$A$1,doses_results!$C$2:$C$400&amp;doses_results!$K$2:$K$400&amp;doses_results!$J$2:$J$400&amp;doses_results!$I$2:$I$400,doses_results!$L$2:$L$400,"",0)</f>
        <v/>
      </c>
      <c r="F20" t="str" cm="1">
        <f t="array" ref="F20">_xlfn.XLOOKUP($A20&amp;F$3&amp;$F$2&amp;$A$1,doses_results!$C$2:$C$400&amp;doses_results!$K$2:$K$400&amp;doses_results!$J$2:$J$400&amp;doses_results!$I$2:$I$400,doses_results!$L$2:$L$400,"",0)</f>
        <v>-1.88[-3.28,-0.49]</v>
      </c>
      <c r="G20" t="str" cm="1">
        <f t="array" ref="G20">_xlfn.XLOOKUP($A20&amp;G$3&amp;$F$2&amp;$A$1,doses_results!$C$2:$C$400&amp;doses_results!$K$2:$K$400&amp;doses_results!$J$2:$J$400&amp;doses_results!$I$2:$I$400,doses_results!$L$2:$L$400,"",0)</f>
        <v>-2.02[-3.41,-0.63]</v>
      </c>
      <c r="H20" t="str" cm="1">
        <f t="array" ref="H20">_xlfn.XLOOKUP($A20&amp;H$3&amp;$C$2&amp;$A$1,doses_results!$C$2:$C$400&amp;doses_results!$K$2:$K$400&amp;doses_results!$J$2:$J$400&amp;doses_results!$I$2:$I$400,doses_results!$L$2:$L$400,"",0)</f>
        <v/>
      </c>
      <c r="I20" t="str" cm="1">
        <f t="array" ref="I20">_xlfn.XLOOKUP($A20&amp;I$3&amp;$I$2&amp;$A$1,doses_results!$C$2:$C$400&amp;doses_results!$K$2:$K$400&amp;doses_results!$J$2:$J$400&amp;doses_results!$I$2:$I$400,doses_results!$L$2:$L$400,"",0)</f>
        <v>-1.72[-2.43,-1.01]</v>
      </c>
      <c r="J20" t="str" cm="1">
        <f t="array" ref="J20">_xlfn.XLOOKUP($A20&amp;J$3&amp;$I$2&amp;$A$1,doses_results!$C$2:$C$400&amp;doses_results!$K$2:$K$400&amp;doses_results!$J$2:$J$400&amp;doses_results!$I$2:$I$400,doses_results!$L$2:$L$400,"",0)</f>
        <v>-1.25[-2.17,-0.34]</v>
      </c>
    </row>
    <row r="21" spans="1:10" x14ac:dyDescent="0.25">
      <c r="A21" t="s">
        <v>31</v>
      </c>
      <c r="B21" t="s">
        <v>128</v>
      </c>
      <c r="C21" t="str" cm="1">
        <f t="array" ref="C21">_xlfn.XLOOKUP($A21&amp;C$3&amp;$C$2&amp;$A$1,doses_results!$C$2:$C$400&amp;doses_results!$K$2:$K$400&amp;doses_results!$J$2:$J$400&amp;doses_results!$I$2:$I$400,doses_results!$L$2:$L$400,"",0)</f>
        <v>0.23[-1.88,2.34]</v>
      </c>
      <c r="D21" t="str" cm="1">
        <f t="array" ref="D21">_xlfn.XLOOKUP($A21&amp;D$3&amp;$C$2&amp;$A$1,doses_results!$C$2:$C$400&amp;doses_results!$K$2:$K$400&amp;doses_results!$J$2:$J$400&amp;doses_results!$I$2:$I$400,doses_results!$L$2:$L$400,"",0)</f>
        <v>0.59[-1.50,2.67]</v>
      </c>
      <c r="E21" t="str" cm="1">
        <f t="array" ref="E21">_xlfn.XLOOKUP($A21&amp;E$3&amp;$C$2&amp;$A$1,doses_results!$C$2:$C$400&amp;doses_results!$K$2:$K$400&amp;doses_results!$J$2:$J$400&amp;doses_results!$I$2:$I$400,doses_results!$L$2:$L$400,"",0)</f>
        <v/>
      </c>
      <c r="F21" t="str" cm="1">
        <f t="array" ref="F21">_xlfn.XLOOKUP($A21&amp;F$3&amp;$F$2&amp;$A$1,doses_results!$C$2:$C$400&amp;doses_results!$K$2:$K$400&amp;doses_results!$J$2:$J$400&amp;doses_results!$I$2:$I$400,doses_results!$L$2:$L$400,"",0)</f>
        <v/>
      </c>
      <c r="G21" t="str" cm="1">
        <f t="array" ref="G21">_xlfn.XLOOKUP($A21&amp;G$3&amp;$F$2&amp;$A$1,doses_results!$C$2:$C$400&amp;doses_results!$K$2:$K$400&amp;doses_results!$J$2:$J$400&amp;doses_results!$I$2:$I$400,doses_results!$L$2:$L$400,"",0)</f>
        <v/>
      </c>
      <c r="H21" t="str" cm="1">
        <f t="array" ref="H21">_xlfn.XLOOKUP($A21&amp;H$3&amp;$C$2&amp;$A$1,doses_results!$C$2:$C$400&amp;doses_results!$K$2:$K$400&amp;doses_results!$J$2:$J$400&amp;doses_results!$I$2:$I$400,doses_results!$L$2:$L$400,"",0)</f>
        <v/>
      </c>
      <c r="I21" t="str" cm="1">
        <f t="array" ref="I21">_xlfn.XLOOKUP($A21&amp;I$3&amp;$I$2&amp;$A$1,doses_results!$C$2:$C$400&amp;doses_results!$K$2:$K$400&amp;doses_results!$J$2:$J$400&amp;doses_results!$I$2:$I$400,doses_results!$L$2:$L$400,"",0)</f>
        <v/>
      </c>
      <c r="J21" t="str" cm="1">
        <f t="array" ref="J21">_xlfn.XLOOKUP($A21&amp;J$3&amp;$I$2&amp;$A$1,doses_results!$C$2:$C$400&amp;doses_results!$K$2:$K$400&amp;doses_results!$J$2:$J$400&amp;doses_results!$I$2:$I$400,doses_results!$L$2:$L$400,"",0)</f>
        <v/>
      </c>
    </row>
    <row r="22" spans="1:10" x14ac:dyDescent="0.25">
      <c r="A22" t="s">
        <v>32</v>
      </c>
      <c r="B22" t="s">
        <v>129</v>
      </c>
      <c r="C22" t="str" cm="1">
        <f t="array" ref="C22">_xlfn.XLOOKUP($A22&amp;C$3&amp;$C$2&amp;$A$1,doses_results!$C$2:$C$400&amp;doses_results!$K$2:$K$400&amp;doses_results!$J$2:$J$400&amp;doses_results!$I$2:$I$400,doses_results!$L$2:$L$400,"",0)</f>
        <v>-1.15[-1.84,-0.46]</v>
      </c>
      <c r="D22" t="str" cm="1">
        <f t="array" ref="D22">_xlfn.XLOOKUP($A22&amp;D$3&amp;$C$2&amp;$A$1,doses_results!$C$2:$C$400&amp;doses_results!$K$2:$K$400&amp;doses_results!$J$2:$J$400&amp;doses_results!$I$2:$I$400,doses_results!$L$2:$L$400,"",0)</f>
        <v>-1.24[-1.95,-0.53]</v>
      </c>
      <c r="E22" t="str" cm="1">
        <f t="array" ref="E22">_xlfn.XLOOKUP($A22&amp;E$3&amp;$C$2&amp;$A$1,doses_results!$C$2:$C$400&amp;doses_results!$K$2:$K$400&amp;doses_results!$J$2:$J$400&amp;doses_results!$I$2:$I$400,doses_results!$L$2:$L$400,"",0)</f>
        <v/>
      </c>
      <c r="F22" t="str" cm="1">
        <f t="array" ref="F22">_xlfn.XLOOKUP($A22&amp;F$3&amp;$F$2&amp;$A$1,doses_results!$C$2:$C$400&amp;doses_results!$K$2:$K$400&amp;doses_results!$J$2:$J$400&amp;doses_results!$I$2:$I$400,doses_results!$L$2:$L$400,"",0)</f>
        <v/>
      </c>
      <c r="G22" t="str" cm="1">
        <f t="array" ref="G22">_xlfn.XLOOKUP($A22&amp;G$3&amp;$F$2&amp;$A$1,doses_results!$C$2:$C$400&amp;doses_results!$K$2:$K$400&amp;doses_results!$J$2:$J$400&amp;doses_results!$I$2:$I$400,doses_results!$L$2:$L$400,"",0)</f>
        <v/>
      </c>
      <c r="H22" t="str" cm="1">
        <f t="array" ref="H22">_xlfn.XLOOKUP($A22&amp;H$3&amp;$C$2&amp;$A$1,doses_results!$C$2:$C$400&amp;doses_results!$K$2:$K$400&amp;doses_results!$J$2:$J$400&amp;doses_results!$I$2:$I$400,doses_results!$L$2:$L$400,"",0)</f>
        <v/>
      </c>
      <c r="I22" t="str" cm="1">
        <f t="array" ref="I22">_xlfn.XLOOKUP($A22&amp;I$3&amp;$I$2&amp;$A$1,doses_results!$C$2:$C$400&amp;doses_results!$K$2:$K$400&amp;doses_results!$J$2:$J$400&amp;doses_results!$I$2:$I$400,doses_results!$L$2:$L$400,"",0)</f>
        <v/>
      </c>
      <c r="J22" t="str" cm="1">
        <f t="array" ref="J22">_xlfn.XLOOKUP($A22&amp;J$3&amp;$I$2&amp;$A$1,doses_results!$C$2:$C$400&amp;doses_results!$K$2:$K$400&amp;doses_results!$J$2:$J$400&amp;doses_results!$I$2:$I$400,doses_results!$L$2:$L$400,"",0)</f>
        <v>-0.32[-0.96,0.32]</v>
      </c>
    </row>
    <row r="23" spans="1:10" x14ac:dyDescent="0.25">
      <c r="A23" t="s">
        <v>33</v>
      </c>
      <c r="B23" t="s">
        <v>130</v>
      </c>
      <c r="C23" t="str" cm="1">
        <f t="array" ref="C23">_xlfn.XLOOKUP($A23&amp;C$3&amp;$C$2&amp;$A$1,doses_results!$C$2:$C$400&amp;doses_results!$K$2:$K$400&amp;doses_results!$J$2:$J$400&amp;doses_results!$I$2:$I$400,doses_results!$L$2:$L$400,"",0)</f>
        <v>0.39[-0.40,1.17]</v>
      </c>
      <c r="D23" t="str" cm="1">
        <f t="array" ref="D23">_xlfn.XLOOKUP($A23&amp;D$3&amp;$C$2&amp;$A$1,doses_results!$C$2:$C$400&amp;doses_results!$K$2:$K$400&amp;doses_results!$J$2:$J$400&amp;doses_results!$I$2:$I$400,doses_results!$L$2:$L$400,"",0)</f>
        <v>0.56[-0.23,1.36]</v>
      </c>
      <c r="E23" t="str" cm="1">
        <f t="array" ref="E23">_xlfn.XLOOKUP($A23&amp;E$3&amp;$C$2&amp;$A$1,doses_results!$C$2:$C$400&amp;doses_results!$K$2:$K$400&amp;doses_results!$J$2:$J$400&amp;doses_results!$I$2:$I$400,doses_results!$L$2:$L$400,"",0)</f>
        <v/>
      </c>
      <c r="F23" t="str" cm="1">
        <f t="array" ref="F23">_xlfn.XLOOKUP($A23&amp;F$3&amp;$F$2&amp;$A$1,doses_results!$C$2:$C$400&amp;doses_results!$K$2:$K$400&amp;doses_results!$J$2:$J$400&amp;doses_results!$I$2:$I$400,doses_results!$L$2:$L$400,"",0)</f>
        <v/>
      </c>
      <c r="G23" t="str" cm="1">
        <f t="array" ref="G23">_xlfn.XLOOKUP($A23&amp;G$3&amp;$F$2&amp;$A$1,doses_results!$C$2:$C$400&amp;doses_results!$K$2:$K$400&amp;doses_results!$J$2:$J$400&amp;doses_results!$I$2:$I$400,doses_results!$L$2:$L$400,"",0)</f>
        <v/>
      </c>
      <c r="H23" t="str" cm="1">
        <f t="array" ref="H23">_xlfn.XLOOKUP($A23&amp;H$3&amp;$C$2&amp;$A$1,doses_results!$C$2:$C$400&amp;doses_results!$K$2:$K$400&amp;doses_results!$J$2:$J$400&amp;doses_results!$I$2:$I$400,doses_results!$L$2:$L$400,"",0)</f>
        <v/>
      </c>
      <c r="I23" t="str" cm="1">
        <f t="array" ref="I23">_xlfn.XLOOKUP($A23&amp;I$3&amp;$I$2&amp;$A$1,doses_results!$C$2:$C$400&amp;doses_results!$K$2:$K$400&amp;doses_results!$J$2:$J$400&amp;doses_results!$I$2:$I$400,doses_results!$L$2:$L$400,"",0)</f>
        <v/>
      </c>
      <c r="J23" t="str" cm="1">
        <f t="array" ref="J23">_xlfn.XLOOKUP($A23&amp;J$3&amp;$I$2&amp;$A$1,doses_results!$C$2:$C$400&amp;doses_results!$K$2:$K$400&amp;doses_results!$J$2:$J$400&amp;doses_results!$I$2:$I$400,doses_results!$L$2:$L$400,"",0)</f>
        <v/>
      </c>
    </row>
    <row r="24" spans="1:10" x14ac:dyDescent="0.25">
      <c r="A24" s="2" t="s">
        <v>34</v>
      </c>
      <c r="B24" s="2" t="s">
        <v>131</v>
      </c>
      <c r="C24" s="2" t="str" cm="1">
        <f t="array" ref="C24">_xlfn.XLOOKUP($A24&amp;C$3&amp;$C$2&amp;$A$1,doses_results!$C$2:$C$400&amp;doses_results!$K$2:$K$400&amp;doses_results!$J$2:$J$400&amp;doses_results!$I$2:$I$400,doses_results!$L$2:$L$400,"",0)</f>
        <v>-0.60[-1.06,-0.13]</v>
      </c>
      <c r="D24" s="2" t="str" cm="1">
        <f t="array" ref="D24">_xlfn.XLOOKUP($A24&amp;D$3&amp;$C$2&amp;$A$1,doses_results!$C$2:$C$400&amp;doses_results!$K$2:$K$400&amp;doses_results!$J$2:$J$400&amp;doses_results!$I$2:$I$400,doses_results!$L$2:$L$400,"",0)</f>
        <v>-0.65[-1.13,-0.18]</v>
      </c>
      <c r="E24" s="2" t="str" cm="1">
        <f t="array" ref="E24">_xlfn.XLOOKUP($A24&amp;E$3&amp;$C$2&amp;$A$1,doses_results!$C$2:$C$400&amp;doses_results!$K$2:$K$400&amp;doses_results!$J$2:$J$400&amp;doses_results!$I$2:$I$400,doses_results!$L$2:$L$400,"",0)</f>
        <v/>
      </c>
      <c r="F24" s="2" t="str" cm="1">
        <f t="array" ref="F24">_xlfn.XLOOKUP($A24&amp;F$3&amp;$F$2&amp;$A$1,doses_results!$C$2:$C$400&amp;doses_results!$K$2:$K$400&amp;doses_results!$J$2:$J$400&amp;doses_results!$I$2:$I$400,doses_results!$L$2:$L$400,"",0)</f>
        <v>-0.65[-1.09,-0.22]</v>
      </c>
      <c r="G24" s="2" t="str" cm="1">
        <f t="array" ref="G24">_xlfn.XLOOKUP($A24&amp;G$3&amp;$F$2&amp;$A$1,doses_results!$C$2:$C$400&amp;doses_results!$K$2:$K$400&amp;doses_results!$J$2:$J$400&amp;doses_results!$I$2:$I$400,doses_results!$L$2:$L$400,"",0)</f>
        <v>-0.65[-1.09,-0.21]</v>
      </c>
      <c r="H24" s="2" t="str" cm="1">
        <f t="array" ref="H24">_xlfn.XLOOKUP($A24&amp;H$3&amp;$C$2&amp;$A$1,doses_results!$C$2:$C$400&amp;doses_results!$K$2:$K$400&amp;doses_results!$J$2:$J$400&amp;doses_results!$I$2:$I$400,doses_results!$L$2:$L$400,"",0)</f>
        <v/>
      </c>
      <c r="I24" s="2" t="str" cm="1">
        <f t="array" ref="I24">_xlfn.XLOOKUP($A24&amp;I$3&amp;$I$2&amp;$A$1,doses_results!$C$2:$C$400&amp;doses_results!$K$2:$K$400&amp;doses_results!$J$2:$J$400&amp;doses_results!$I$2:$I$400,doses_results!$L$2:$L$400,"",0)</f>
        <v>-0.83[-1.27,-0.40]</v>
      </c>
      <c r="J24" s="2" t="str" cm="1">
        <f t="array" ref="J24">_xlfn.XLOOKUP($A24&amp;J$3&amp;$I$2&amp;$A$1,doses_results!$C$2:$C$400&amp;doses_results!$K$2:$K$400&amp;doses_results!$J$2:$J$400&amp;doses_results!$I$2:$I$400,doses_results!$L$2:$L$400,"",0)</f>
        <v>-0.83[-1.27,-0.39]</v>
      </c>
    </row>
    <row r="25" spans="1:10" x14ac:dyDescent="0.25">
      <c r="A25" t="s">
        <v>35</v>
      </c>
      <c r="B25" t="s">
        <v>132</v>
      </c>
      <c r="C25" t="str" cm="1">
        <f t="array" ref="C25">_xlfn.XLOOKUP($A25&amp;C$3&amp;$C$2&amp;$A$1,doses_results!$C$2:$C$400&amp;doses_results!$K$2:$K$400&amp;doses_results!$J$2:$J$400&amp;doses_results!$I$2:$I$400,doses_results!$L$2:$L$400,"",0)</f>
        <v>-0.19[-0.65,0.28]</v>
      </c>
      <c r="D25" t="str" cm="1">
        <f t="array" ref="D25">_xlfn.XLOOKUP($A25&amp;D$3&amp;$C$2&amp;$A$1,doses_results!$C$2:$C$400&amp;doses_results!$K$2:$K$400&amp;doses_results!$J$2:$J$400&amp;doses_results!$I$2:$I$400,doses_results!$L$2:$L$400,"",0)</f>
        <v>-0.20[-0.67,0.27]</v>
      </c>
      <c r="E25" t="str" cm="1">
        <f t="array" ref="E25">_xlfn.XLOOKUP($A25&amp;E$3&amp;$C$2&amp;$A$1,doses_results!$C$2:$C$400&amp;doses_results!$K$2:$K$400&amp;doses_results!$J$2:$J$400&amp;doses_results!$I$2:$I$400,doses_results!$L$2:$L$400,"",0)</f>
        <v/>
      </c>
      <c r="F25" t="str" cm="1">
        <f t="array" ref="F25">_xlfn.XLOOKUP($A25&amp;F$3&amp;$F$2&amp;$A$1,doses_results!$C$2:$C$400&amp;doses_results!$K$2:$K$400&amp;doses_results!$J$2:$J$400&amp;doses_results!$I$2:$I$400,doses_results!$L$2:$L$400,"",0)</f>
        <v/>
      </c>
      <c r="G25" t="str" cm="1">
        <f t="array" ref="G25">_xlfn.XLOOKUP($A25&amp;G$3&amp;$F$2&amp;$A$1,doses_results!$C$2:$C$400&amp;doses_results!$K$2:$K$400&amp;doses_results!$J$2:$J$400&amp;doses_results!$I$2:$I$400,doses_results!$L$2:$L$400,"",0)</f>
        <v/>
      </c>
      <c r="H25" t="str" cm="1">
        <f t="array" ref="H25">_xlfn.XLOOKUP($A25&amp;H$3&amp;$C$2&amp;$A$1,doses_results!$C$2:$C$400&amp;doses_results!$K$2:$K$400&amp;doses_results!$J$2:$J$400&amp;doses_results!$I$2:$I$400,doses_results!$L$2:$L$400,"",0)</f>
        <v/>
      </c>
      <c r="I25" t="str" cm="1">
        <f t="array" ref="I25">_xlfn.XLOOKUP($A25&amp;I$3&amp;$I$2&amp;$A$1,doses_results!$C$2:$C$400&amp;doses_results!$K$2:$K$400&amp;doses_results!$J$2:$J$400&amp;doses_results!$I$2:$I$400,doses_results!$L$2:$L$400,"",0)</f>
        <v/>
      </c>
      <c r="J25" t="str" cm="1">
        <f t="array" ref="J25">_xlfn.XLOOKUP($A25&amp;J$3&amp;$I$2&amp;$A$1,doses_results!$C$2:$C$400&amp;doses_results!$K$2:$K$400&amp;doses_results!$J$2:$J$400&amp;doses_results!$I$2:$I$400,doses_results!$L$2:$L$400,"",0)</f>
        <v/>
      </c>
    </row>
    <row r="26" spans="1:10" x14ac:dyDescent="0.25">
      <c r="A26" s="2" t="s">
        <v>36</v>
      </c>
      <c r="B26" s="2" t="s">
        <v>133</v>
      </c>
      <c r="C26" s="2" t="str" cm="1">
        <f t="array" ref="C26">_xlfn.XLOOKUP($A26&amp;C$3&amp;$C$2&amp;$A$1,doses_results!$C$2:$C$400&amp;doses_results!$K$2:$K$400&amp;doses_results!$J$2:$J$400&amp;doses_results!$I$2:$I$400,doses_results!$L$2:$L$400,"",0)</f>
        <v>-0.81[-1.23,-0.39]</v>
      </c>
      <c r="D26" s="2" t="str" cm="1">
        <f t="array" ref="D26">_xlfn.XLOOKUP($A26&amp;D$3&amp;$C$2&amp;$A$1,doses_results!$C$2:$C$400&amp;doses_results!$K$2:$K$400&amp;doses_results!$J$2:$J$400&amp;doses_results!$I$2:$I$400,doses_results!$L$2:$L$400,"",0)</f>
        <v>-0.67[-1.11,-0.23]</v>
      </c>
      <c r="E26" s="2" t="str" cm="1">
        <f t="array" ref="E26">_xlfn.XLOOKUP($A26&amp;E$3&amp;$C$2&amp;$A$1,doses_results!$C$2:$C$400&amp;doses_results!$K$2:$K$400&amp;doses_results!$J$2:$J$400&amp;doses_results!$I$2:$I$400,doses_results!$L$2:$L$400,"",0)</f>
        <v/>
      </c>
      <c r="F26" s="2" t="str" cm="1">
        <f t="array" ref="F26">_xlfn.XLOOKUP($A26&amp;F$3&amp;$F$2&amp;$A$1,doses_results!$C$2:$C$400&amp;doses_results!$K$2:$K$400&amp;doses_results!$J$2:$J$400&amp;doses_results!$I$2:$I$400,doses_results!$L$2:$L$400,"",0)</f>
        <v>-0.55[-0.89,-0.21]</v>
      </c>
      <c r="G26" s="2" t="str" cm="1">
        <f t="array" ref="G26">_xlfn.XLOOKUP($A26&amp;G$3&amp;$F$2&amp;$A$1,doses_results!$C$2:$C$400&amp;doses_results!$K$2:$K$400&amp;doses_results!$J$2:$J$400&amp;doses_results!$I$2:$I$400,doses_results!$L$2:$L$400,"",0)</f>
        <v>-0.51[-0.87,-0.15]</v>
      </c>
      <c r="H26" s="2" t="str" cm="1">
        <f t="array" ref="H26">_xlfn.XLOOKUP($A26&amp;H$3&amp;$C$2&amp;$A$1,doses_results!$C$2:$C$400&amp;doses_results!$K$2:$K$400&amp;doses_results!$J$2:$J$400&amp;doses_results!$I$2:$I$400,doses_results!$L$2:$L$400,"",0)</f>
        <v/>
      </c>
      <c r="I26" s="2" t="str" cm="1">
        <f t="array" ref="I26">_xlfn.XLOOKUP($A26&amp;I$3&amp;$I$2&amp;$A$1,doses_results!$C$2:$C$400&amp;doses_results!$K$2:$K$400&amp;doses_results!$J$2:$J$400&amp;doses_results!$I$2:$I$400,doses_results!$L$2:$L$400,"",0)</f>
        <v>-0.64[-0.92,-0.36]</v>
      </c>
      <c r="J26" s="2" t="str" cm="1">
        <f t="array" ref="J26">_xlfn.XLOOKUP($A26&amp;J$3&amp;$I$2&amp;$A$1,doses_results!$C$2:$C$400&amp;doses_results!$K$2:$K$400&amp;doses_results!$J$2:$J$400&amp;doses_results!$I$2:$I$400,doses_results!$L$2:$L$400,"",0)</f>
        <v>-0.37[-0.68,-0.05]</v>
      </c>
    </row>
    <row r="27" spans="1:10" x14ac:dyDescent="0.25">
      <c r="A27" s="7" t="s">
        <v>89</v>
      </c>
      <c r="B27" s="7" t="s">
        <v>134</v>
      </c>
      <c r="C27" s="7" t="str" cm="1">
        <f t="array" ref="C27">_xlfn.XLOOKUP($A27&amp;C$3&amp;$C$2&amp;$A$1,doses_results!$C$2:$C$400&amp;doses_results!$K$2:$K$400&amp;doses_results!$J$2:$J$400&amp;doses_results!$I$2:$I$400,doses_results!$L$2:$L$400,"",0)</f>
        <v/>
      </c>
      <c r="D27" s="7" t="str" cm="1">
        <f t="array" ref="D27">_xlfn.XLOOKUP($A27&amp;D$3&amp;$C$2&amp;$A$1,doses_results!$C$2:$C$400&amp;doses_results!$K$2:$K$400&amp;doses_results!$J$2:$J$400&amp;doses_results!$I$2:$I$400,doses_results!$L$2:$L$400,"",0)</f>
        <v/>
      </c>
      <c r="E27" s="7" t="str" cm="1">
        <f t="array" ref="E27">_xlfn.XLOOKUP($A27&amp;E$3&amp;$C$2&amp;$A$1,doses_results!$C$2:$C$400&amp;doses_results!$K$2:$K$400&amp;doses_results!$J$2:$J$400&amp;doses_results!$I$2:$I$400,doses_results!$L$2:$L$400,"",0)</f>
        <v/>
      </c>
      <c r="F27" s="7" t="str" cm="1">
        <f t="array" ref="F27">_xlfn.XLOOKUP($A27&amp;F$3&amp;$F$2&amp;$A$1,doses_results!$C$2:$C$400&amp;doses_results!$K$2:$K$400&amp;doses_results!$J$2:$J$400&amp;doses_results!$I$2:$I$400,doses_results!$L$2:$L$400,"",0)</f>
        <v>2.17[0.49,3.84]</v>
      </c>
      <c r="G27" s="7" t="str" cm="1">
        <f t="array" ref="G27">_xlfn.XLOOKUP($A27&amp;G$3&amp;$F$2&amp;$A$1,doses_results!$C$2:$C$400&amp;doses_results!$K$2:$K$400&amp;doses_results!$J$2:$J$400&amp;doses_results!$I$2:$I$400,doses_results!$L$2:$L$400,"",0)</f>
        <v>2.02[0.33,3.71]</v>
      </c>
      <c r="H27" s="7" t="str" cm="1">
        <f t="array" ref="H27">_xlfn.XLOOKUP($A27&amp;H$3&amp;$C$2&amp;$A$1,doses_results!$C$2:$C$400&amp;doses_results!$K$2:$K$400&amp;doses_results!$J$2:$J$400&amp;doses_results!$I$2:$I$400,doses_results!$L$2:$L$400,"",0)</f>
        <v/>
      </c>
      <c r="I27" s="7" t="str" cm="1">
        <f t="array" ref="I27">_xlfn.XLOOKUP($A27&amp;I$3&amp;$I$2&amp;$A$1,doses_results!$C$2:$C$400&amp;doses_results!$K$2:$K$400&amp;doses_results!$J$2:$J$400&amp;doses_results!$I$2:$I$400,doses_results!$L$2:$L$400,"",0)</f>
        <v>2.89[2.07,3.72]</v>
      </c>
      <c r="J27" s="7" t="str" cm="1">
        <f t="array" ref="J27">_xlfn.XLOOKUP($A27&amp;J$3&amp;$I$2&amp;$A$1,doses_results!$C$2:$C$400&amp;doses_results!$K$2:$K$400&amp;doses_results!$J$2:$J$400&amp;doses_results!$I$2:$I$400,doses_results!$L$2:$L$400,"",0)</f>
        <v>3.47[3.03,3.90]</v>
      </c>
    </row>
    <row r="28" spans="1:10" x14ac:dyDescent="0.25">
      <c r="A28" t="s">
        <v>90</v>
      </c>
      <c r="B28" t="s">
        <v>135</v>
      </c>
      <c r="C28" t="str" cm="1">
        <f t="array" ref="C28">_xlfn.XLOOKUP($A28&amp;C$3&amp;$C$2&amp;$A$1,doses_results!$C$2:$C$400&amp;doses_results!$K$2:$K$400&amp;doses_results!$J$2:$J$400&amp;doses_results!$I$2:$I$400,doses_results!$L$2:$L$400,"",0)</f>
        <v/>
      </c>
      <c r="D28" t="str" cm="1">
        <f t="array" ref="D28">_xlfn.XLOOKUP($A28&amp;D$3&amp;$C$2&amp;$A$1,doses_results!$C$2:$C$400&amp;doses_results!$K$2:$K$400&amp;doses_results!$J$2:$J$400&amp;doses_results!$I$2:$I$400,doses_results!$L$2:$L$400,"",0)</f>
        <v/>
      </c>
      <c r="E28" t="str" cm="1">
        <f t="array" ref="E28">_xlfn.XLOOKUP($A28&amp;E$3&amp;$C$2&amp;$A$1,doses_results!$C$2:$C$400&amp;doses_results!$K$2:$K$400&amp;doses_results!$J$2:$J$400&amp;doses_results!$I$2:$I$400,doses_results!$L$2:$L$400,"",0)</f>
        <v/>
      </c>
      <c r="F28" t="str" cm="1">
        <f t="array" ref="F28">_xlfn.XLOOKUP($A28&amp;F$3&amp;$F$2&amp;$A$1,doses_results!$C$2:$C$400&amp;doses_results!$K$2:$K$400&amp;doses_results!$J$2:$J$400&amp;doses_results!$I$2:$I$400,doses_results!$L$2:$L$400,"",0)</f>
        <v>22.13[4.09,40.17]</v>
      </c>
      <c r="G28" t="str" cm="1">
        <f t="array" ref="G28">_xlfn.XLOOKUP($A28&amp;G$3&amp;$F$2&amp;$A$1,doses_results!$C$2:$C$400&amp;doses_results!$K$2:$K$400&amp;doses_results!$J$2:$J$400&amp;doses_results!$I$2:$I$400,doses_results!$L$2:$L$400,"",0)</f>
        <v>19.72[1.89,37.56]</v>
      </c>
      <c r="H28" t="str" cm="1">
        <f t="array" ref="H28">_xlfn.XLOOKUP($A28&amp;H$3&amp;$C$2&amp;$A$1,doses_results!$C$2:$C$400&amp;doses_results!$K$2:$K$400&amp;doses_results!$J$2:$J$400&amp;doses_results!$I$2:$I$400,doses_results!$L$2:$L$400,"",0)</f>
        <v/>
      </c>
      <c r="I28" t="str" cm="1">
        <f t="array" ref="I28">_xlfn.XLOOKUP($A28&amp;I$3&amp;$I$2&amp;$A$1,doses_results!$C$2:$C$400&amp;doses_results!$K$2:$K$400&amp;doses_results!$J$2:$J$400&amp;doses_results!$I$2:$I$400,doses_results!$L$2:$L$400,"",0)</f>
        <v>17.82[0.82,34.81]</v>
      </c>
      <c r="J28" t="str" cm="1">
        <f t="array" ref="J28">_xlfn.XLOOKUP($A28&amp;J$3&amp;$I$2&amp;$A$1,doses_results!$C$2:$C$400&amp;doses_results!$K$2:$K$400&amp;doses_results!$J$2:$J$400&amp;doses_results!$I$2:$I$400,doses_results!$L$2:$L$400,"",0)</f>
        <v/>
      </c>
    </row>
    <row r="29" spans="1:10" x14ac:dyDescent="0.25">
      <c r="A29" t="s">
        <v>97</v>
      </c>
      <c r="B29" t="s">
        <v>168</v>
      </c>
      <c r="C29" t="str" cm="1">
        <f t="array" ref="C29">_xlfn.XLOOKUP($A29&amp;C$3&amp;$C$2&amp;$A$1,doses_results!$C$2:$C$400&amp;doses_results!$K$2:$K$400&amp;doses_results!$J$2:$J$400&amp;doses_results!$I$2:$I$400,doses_results!$L$2:$L$400,"",0)</f>
        <v/>
      </c>
      <c r="D29" t="str" cm="1">
        <f t="array" ref="D29">_xlfn.XLOOKUP($A29&amp;D$3&amp;$C$2&amp;$A$1,doses_results!$C$2:$C$400&amp;doses_results!$K$2:$K$400&amp;doses_results!$J$2:$J$400&amp;doses_results!$I$2:$I$400,doses_results!$L$2:$L$400,"",0)</f>
        <v/>
      </c>
      <c r="E29" t="str" cm="1">
        <f t="array" ref="E29">_xlfn.XLOOKUP($A29&amp;E$3&amp;$C$2&amp;$A$1,doses_results!$C$2:$C$400&amp;doses_results!$K$2:$K$400&amp;doses_results!$J$2:$J$400&amp;doses_results!$I$2:$I$400,doses_results!$L$2:$L$400,"",0)</f>
        <v/>
      </c>
      <c r="F29" t="str" cm="1">
        <f t="array" ref="F29">_xlfn.XLOOKUP($A29&amp;F$3&amp;$F$2&amp;$A$1,doses_results!$C$2:$C$400&amp;doses_results!$K$2:$K$400&amp;doses_results!$J$2:$J$400&amp;doses_results!$I$2:$I$400,doses_results!$L$2:$L$400,"",0)</f>
        <v/>
      </c>
      <c r="G29" t="str" cm="1">
        <f t="array" ref="G29">_xlfn.XLOOKUP($A29&amp;G$3&amp;$F$2&amp;$A$1,doses_results!$C$2:$C$400&amp;doses_results!$K$2:$K$400&amp;doses_results!$J$2:$J$400&amp;doses_results!$I$2:$I$400,doses_results!$L$2:$L$400,"",0)</f>
        <v/>
      </c>
      <c r="H29" t="str" cm="1">
        <f t="array" ref="H29">_xlfn.XLOOKUP($A29&amp;H$3&amp;$C$2&amp;$A$1,doses_results!$C$2:$C$400&amp;doses_results!$K$2:$K$400&amp;doses_results!$J$2:$J$400&amp;doses_results!$I$2:$I$400,doses_results!$L$2:$L$400,"",0)</f>
        <v/>
      </c>
      <c r="I29" t="str" cm="1">
        <f t="array" ref="I29">_xlfn.XLOOKUP($A29&amp;I$3&amp;$I$2&amp;$A$1,doses_results!$C$2:$C$400&amp;doses_results!$K$2:$K$400&amp;doses_results!$J$2:$J$400&amp;doses_results!$I$2:$I$400,doses_results!$L$2:$L$400,"",0)</f>
        <v>2.08[1.05,3.10]</v>
      </c>
      <c r="J29" t="str" cm="1">
        <f t="array" ref="J29">_xlfn.XLOOKUP($A29&amp;J$3&amp;$I$2&amp;$A$1,doses_results!$C$2:$C$400&amp;doses_results!$K$2:$K$400&amp;doses_results!$J$2:$J$400&amp;doses_results!$I$2:$I$400,doses_results!$L$2:$L$400,"",0)</f>
        <v>1.92[0.85,2.99]</v>
      </c>
    </row>
    <row r="30" spans="1:10" x14ac:dyDescent="0.25">
      <c r="A30" t="s">
        <v>145</v>
      </c>
      <c r="B30" t="s">
        <v>155</v>
      </c>
      <c r="C30" t="str" cm="1">
        <f t="array" ref="C30">_xlfn.XLOOKUP($A30&amp;C$3&amp;$C$2&amp;$A$1,doses_results!$C$2:$C$400&amp;doses_results!$K$2:$K$400&amp;doses_results!$J$2:$J$400&amp;doses_results!$I$2:$I$400,doses_results!$L$2:$L$400,"",0)</f>
        <v/>
      </c>
      <c r="D30" t="str" cm="1">
        <f t="array" ref="D30">_xlfn.XLOOKUP($A30&amp;D$3&amp;$C$2&amp;$A$1,doses_results!$C$2:$C$400&amp;doses_results!$K$2:$K$400&amp;doses_results!$J$2:$J$400&amp;doses_results!$I$2:$I$400,doses_results!$L$2:$L$400,"",0)</f>
        <v/>
      </c>
      <c r="E30" t="str" cm="1">
        <f t="array" ref="E30">_xlfn.XLOOKUP($A30&amp;E$3&amp;$C$2&amp;$A$1,doses_results!$C$2:$C$400&amp;doses_results!$K$2:$K$400&amp;doses_results!$J$2:$J$400&amp;doses_results!$I$2:$I$400,doses_results!$L$2:$L$400,"",0)</f>
        <v/>
      </c>
      <c r="F30" t="str" cm="1">
        <f t="array" ref="F30">_xlfn.XLOOKUP($A30&amp;F$3&amp;$F$2&amp;$A$1,doses_results!$C$2:$C$400&amp;doses_results!$K$2:$K$400&amp;doses_results!$J$2:$J$400&amp;doses_results!$I$2:$I$400,doses_results!$L$2:$L$400,"",0)</f>
        <v/>
      </c>
      <c r="G30" t="str" cm="1">
        <f t="array" ref="G30">_xlfn.XLOOKUP($A30&amp;G$3&amp;$F$2&amp;$A$1,doses_results!$C$2:$C$400&amp;doses_results!$K$2:$K$400&amp;doses_results!$J$2:$J$400&amp;doses_results!$I$2:$I$400,doses_results!$L$2:$L$400,"",0)</f>
        <v/>
      </c>
      <c r="H30" t="str" cm="1">
        <f t="array" ref="H30">_xlfn.XLOOKUP($A30&amp;H$3&amp;$C$2&amp;$A$1,doses_results!$C$2:$C$400&amp;doses_results!$K$2:$K$400&amp;doses_results!$J$2:$J$400&amp;doses_results!$I$2:$I$400,doses_results!$L$2:$L$400,"",0)</f>
        <v/>
      </c>
      <c r="I30" t="str" cm="1">
        <f t="array" ref="I30">_xlfn.XLOOKUP($A30&amp;I$3&amp;$I$2&amp;$A$1,doses_results!$C$2:$C$400&amp;doses_results!$K$2:$K$400&amp;doses_results!$J$2:$J$400&amp;doses_results!$I$2:$I$400,doses_results!$L$2:$L$400,"",0)</f>
        <v>0.17[-0.46,0.81]</v>
      </c>
      <c r="J30" t="str" cm="1">
        <f t="array" ref="J30">_xlfn.XLOOKUP($A30&amp;J$3&amp;$I$2&amp;$A$1,doses_results!$C$2:$C$400&amp;doses_results!$K$2:$K$400&amp;doses_results!$J$2:$J$400&amp;doses_results!$I$2:$I$400,doses_results!$L$2:$L$400,"",0)</f>
        <v/>
      </c>
    </row>
    <row r="31" spans="1:10" x14ac:dyDescent="0.25">
      <c r="A31" t="s">
        <v>96</v>
      </c>
      <c r="B31" t="s">
        <v>96</v>
      </c>
      <c r="C31" t="str" cm="1">
        <f t="array" ref="C31">_xlfn.XLOOKUP($A31&amp;C$3&amp;$C$2&amp;$A$1,doses_results!$C$2:$C$400&amp;doses_results!$K$2:$K$400&amp;doses_results!$J$2:$J$400&amp;doses_results!$I$2:$I$400,doses_results!$L$2:$L$400,"",0)</f>
        <v/>
      </c>
      <c r="D31" t="str" cm="1">
        <f t="array" ref="D31">_xlfn.XLOOKUP($A31&amp;D$3&amp;$C$2&amp;$A$1,doses_results!$C$2:$C$400&amp;doses_results!$K$2:$K$400&amp;doses_results!$J$2:$J$400&amp;doses_results!$I$2:$I$400,doses_results!$L$2:$L$400,"",0)</f>
        <v/>
      </c>
      <c r="E31" t="str" cm="1">
        <f t="array" ref="E31">_xlfn.XLOOKUP($A31&amp;E$3&amp;$C$2&amp;$A$1,doses_results!$C$2:$C$400&amp;doses_results!$K$2:$K$400&amp;doses_results!$J$2:$J$400&amp;doses_results!$I$2:$I$400,doses_results!$L$2:$L$400,"",0)</f>
        <v/>
      </c>
      <c r="F31" t="str" cm="1">
        <f t="array" ref="F31">_xlfn.XLOOKUP($A31&amp;F$3&amp;$F$2&amp;$A$1,doses_results!$C$2:$C$400&amp;doses_results!$K$2:$K$400&amp;doses_results!$J$2:$J$400&amp;doses_results!$I$2:$I$400,doses_results!$L$2:$L$400,"",0)</f>
        <v/>
      </c>
      <c r="G31" t="str" cm="1">
        <f t="array" ref="G31">_xlfn.XLOOKUP($A31&amp;G$3&amp;$F$2&amp;$A$1,doses_results!$C$2:$C$400&amp;doses_results!$K$2:$K$400&amp;doses_results!$J$2:$J$400&amp;doses_results!$I$2:$I$400,doses_results!$L$2:$L$400,"",0)</f>
        <v/>
      </c>
      <c r="H31" t="str" cm="1">
        <f t="array" ref="H31">_xlfn.XLOOKUP($A31&amp;H$3&amp;$C$2&amp;$A$1,doses_results!$C$2:$C$400&amp;doses_results!$K$2:$K$400&amp;doses_results!$J$2:$J$400&amp;doses_results!$I$2:$I$400,doses_results!$L$2:$L$400,"",0)</f>
        <v/>
      </c>
      <c r="I31" t="str" cm="1">
        <f t="array" ref="I31">_xlfn.XLOOKUP($A31&amp;I$3&amp;$I$2&amp;$A$1,doses_results!$C$2:$C$400&amp;doses_results!$K$2:$K$400&amp;doses_results!$J$2:$J$400&amp;doses_results!$I$2:$I$400,doses_results!$L$2:$L$400,"",0)</f>
        <v>-1.84[-2.91,-0.76]</v>
      </c>
      <c r="J31" t="str" cm="1">
        <f t="array" ref="J31">_xlfn.XLOOKUP($A31&amp;J$3&amp;$I$2&amp;$A$1,doses_results!$C$2:$C$400&amp;doses_results!$K$2:$K$400&amp;doses_results!$J$2:$J$400&amp;doses_results!$I$2:$I$400,doses_results!$L$2:$L$400,"",0)</f>
        <v>-1.89[-3.01,-0.77]</v>
      </c>
    </row>
    <row r="32" spans="1:10" x14ac:dyDescent="0.25">
      <c r="A32" t="s">
        <v>98</v>
      </c>
      <c r="B32" t="s">
        <v>136</v>
      </c>
      <c r="C32" t="str" cm="1">
        <f t="array" ref="C32">_xlfn.XLOOKUP($A32&amp;C$3&amp;$C$2&amp;$A$1,doses_results!$C$2:$C$400&amp;doses_results!$K$2:$K$400&amp;doses_results!$J$2:$J$400&amp;doses_results!$I$2:$I$400,doses_results!$L$2:$L$400,"",0)</f>
        <v/>
      </c>
      <c r="D32" t="str" cm="1">
        <f t="array" ref="D32">_xlfn.XLOOKUP($A32&amp;D$3&amp;$C$2&amp;$A$1,doses_results!$C$2:$C$400&amp;doses_results!$K$2:$K$400&amp;doses_results!$J$2:$J$400&amp;doses_results!$I$2:$I$400,doses_results!$L$2:$L$400,"",0)</f>
        <v/>
      </c>
      <c r="E32" t="str" cm="1">
        <f t="array" ref="E32">_xlfn.XLOOKUP($A32&amp;E$3&amp;$C$2&amp;$A$1,doses_results!$C$2:$C$400&amp;doses_results!$K$2:$K$400&amp;doses_results!$J$2:$J$400&amp;doses_results!$I$2:$I$400,doses_results!$L$2:$L$400,"",0)</f>
        <v/>
      </c>
      <c r="F32" t="str" cm="1">
        <f t="array" ref="F32">_xlfn.XLOOKUP($A32&amp;F$3&amp;$F$2&amp;$A$1,doses_results!$C$2:$C$400&amp;doses_results!$K$2:$K$400&amp;doses_results!$J$2:$J$400&amp;doses_results!$I$2:$I$400,doses_results!$L$2:$L$400,"",0)</f>
        <v/>
      </c>
      <c r="G32" t="str" cm="1">
        <f t="array" ref="G32">_xlfn.XLOOKUP($A32&amp;G$3&amp;$F$2&amp;$A$1,doses_results!$C$2:$C$400&amp;doses_results!$K$2:$K$400&amp;doses_results!$J$2:$J$400&amp;doses_results!$I$2:$I$400,doses_results!$L$2:$L$400,"",0)</f>
        <v/>
      </c>
      <c r="H32" t="str" cm="1">
        <f t="array" ref="H32">_xlfn.XLOOKUP($A32&amp;H$3&amp;$C$2&amp;$A$1,doses_results!$C$2:$C$400&amp;doses_results!$K$2:$K$400&amp;doses_results!$J$2:$J$400&amp;doses_results!$I$2:$I$400,doses_results!$L$2:$L$400,"",0)</f>
        <v/>
      </c>
      <c r="I32" t="str" cm="1">
        <f t="array" ref="I32">_xlfn.XLOOKUP($A32&amp;I$3&amp;$I$2&amp;$A$1,doses_results!$C$2:$C$400&amp;doses_results!$K$2:$K$400&amp;doses_results!$J$2:$J$400&amp;doses_results!$I$2:$I$400,doses_results!$L$2:$L$400,"",0)</f>
        <v>0.89[-0.02,1.81]</v>
      </c>
      <c r="J32" t="str" cm="1">
        <f t="array" ref="J32">_xlfn.XLOOKUP($A32&amp;J$3&amp;$I$2&amp;$A$1,doses_results!$C$2:$C$400&amp;doses_results!$K$2:$K$400&amp;doses_results!$J$2:$J$400&amp;doses_results!$I$2:$I$400,doses_results!$L$2:$L$400,"",0)</f>
        <v>0.73[-0.32,1.78]</v>
      </c>
    </row>
    <row r="33" spans="1:10" x14ac:dyDescent="0.25">
      <c r="A33" t="s">
        <v>109</v>
      </c>
      <c r="B33" t="s">
        <v>141</v>
      </c>
      <c r="C33" t="str" cm="1">
        <f t="array" ref="C33">_xlfn.XLOOKUP($A33&amp;C$3&amp;$C$2&amp;$A$1,doses_results!$C$2:$C$400&amp;doses_results!$K$2:$K$400&amp;doses_results!$J$2:$J$400&amp;doses_results!$I$2:$I$400,doses_results!$L$2:$L$400,"",0)</f>
        <v/>
      </c>
      <c r="D33" t="str" cm="1">
        <f t="array" ref="D33">_xlfn.XLOOKUP($A33&amp;D$3&amp;$C$2&amp;$A$1,doses_results!$C$2:$C$400&amp;doses_results!$K$2:$K$400&amp;doses_results!$J$2:$J$400&amp;doses_results!$I$2:$I$400,doses_results!$L$2:$L$400,"",0)</f>
        <v/>
      </c>
      <c r="E33" t="str" cm="1">
        <f t="array" ref="E33">_xlfn.XLOOKUP($A33&amp;E$3&amp;$C$2&amp;$A$1,doses_results!$C$2:$C$400&amp;doses_results!$K$2:$K$400&amp;doses_results!$J$2:$J$400&amp;doses_results!$I$2:$I$400,doses_results!$L$2:$L$400,"",0)</f>
        <v/>
      </c>
      <c r="F33" t="str" cm="1">
        <f t="array" ref="F33">_xlfn.XLOOKUP($A33&amp;F$3&amp;$F$2&amp;$A$1,doses_results!$C$2:$C$400&amp;doses_results!$K$2:$K$400&amp;doses_results!$J$2:$J$400&amp;doses_results!$I$2:$I$400,doses_results!$L$2:$L$400,"",0)</f>
        <v/>
      </c>
      <c r="G33" t="str" cm="1">
        <f t="array" ref="G33">_xlfn.XLOOKUP($A33&amp;G$3&amp;$F$2&amp;$A$1,doses_results!$C$2:$C$400&amp;doses_results!$K$2:$K$400&amp;doses_results!$J$2:$J$400&amp;doses_results!$I$2:$I$400,doses_results!$L$2:$L$400,"",0)</f>
        <v/>
      </c>
      <c r="H33" t="str" cm="1">
        <f t="array" ref="H33">_xlfn.XLOOKUP($A33&amp;H$3&amp;$C$2&amp;$A$1,doses_results!$C$2:$C$400&amp;doses_results!$K$2:$K$400&amp;doses_results!$J$2:$J$400&amp;doses_results!$I$2:$I$400,doses_results!$L$2:$L$400,"",0)</f>
        <v/>
      </c>
      <c r="I33" t="str" cm="1">
        <f t="array" ref="I33">_xlfn.XLOOKUP($A33&amp;I$3&amp;$I$2&amp;$A$1,doses_results!$C$2:$C$400&amp;doses_results!$K$2:$K$400&amp;doses_results!$J$2:$J$400&amp;doses_results!$I$2:$I$400,doses_results!$L$2:$L$400,"",0)</f>
        <v>0.64[0.07,1.21]</v>
      </c>
      <c r="J33" t="str" cm="1">
        <f t="array" ref="J33">_xlfn.XLOOKUP($A33&amp;J$3&amp;$I$2&amp;$A$1,doses_results!$C$2:$C$400&amp;doses_results!$K$2:$K$400&amp;doses_results!$J$2:$J$400&amp;doses_results!$I$2:$I$400,doses_results!$L$2:$L$400,"",0)</f>
        <v>0.90[0.29,1.51]</v>
      </c>
    </row>
    <row r="34" spans="1:10" x14ac:dyDescent="0.25">
      <c r="A34" t="s">
        <v>105</v>
      </c>
      <c r="B34" t="s">
        <v>139</v>
      </c>
      <c r="C34" t="str" cm="1">
        <f t="array" ref="C34">_xlfn.XLOOKUP($A34&amp;C$3&amp;$C$2&amp;$A$1,doses_results!$C$2:$C$400&amp;doses_results!$K$2:$K$400&amp;doses_results!$J$2:$J$400&amp;doses_results!$I$2:$I$400,doses_results!$L$2:$L$400,"",0)</f>
        <v/>
      </c>
      <c r="D34" t="str" cm="1">
        <f t="array" ref="D34">_xlfn.XLOOKUP($A34&amp;D$3&amp;$C$2&amp;$A$1,doses_results!$C$2:$C$400&amp;doses_results!$K$2:$K$400&amp;doses_results!$J$2:$J$400&amp;doses_results!$I$2:$I$400,doses_results!$L$2:$L$400,"",0)</f>
        <v/>
      </c>
      <c r="E34" t="str" cm="1">
        <f t="array" ref="E34">_xlfn.XLOOKUP($A34&amp;E$3&amp;$C$2&amp;$A$1,doses_results!$C$2:$C$400&amp;doses_results!$K$2:$K$400&amp;doses_results!$J$2:$J$400&amp;doses_results!$I$2:$I$400,doses_results!$L$2:$L$400,"",0)</f>
        <v/>
      </c>
      <c r="F34" t="str" cm="1">
        <f t="array" ref="F34">_xlfn.XLOOKUP($A34&amp;F$3&amp;$F$2&amp;$A$1,doses_results!$C$2:$C$400&amp;doses_results!$K$2:$K$400&amp;doses_results!$J$2:$J$400&amp;doses_results!$I$2:$I$400,doses_results!$L$2:$L$400,"",0)</f>
        <v/>
      </c>
      <c r="G34" t="str" cm="1">
        <f t="array" ref="G34">_xlfn.XLOOKUP($A34&amp;G$3&amp;$F$2&amp;$A$1,doses_results!$C$2:$C$400&amp;doses_results!$K$2:$K$400&amp;doses_results!$J$2:$J$400&amp;doses_results!$I$2:$I$400,doses_results!$L$2:$L$400,"",0)</f>
        <v/>
      </c>
      <c r="H34" t="str" cm="1">
        <f t="array" ref="H34">_xlfn.XLOOKUP($A34&amp;H$3&amp;$C$2&amp;$A$1,doses_results!$C$2:$C$400&amp;doses_results!$K$2:$K$400&amp;doses_results!$J$2:$J$400&amp;doses_results!$I$2:$I$400,doses_results!$L$2:$L$400,"",0)</f>
        <v/>
      </c>
      <c r="I34" t="str" cm="1">
        <f t="array" ref="I34">_xlfn.XLOOKUP($A34&amp;I$3&amp;$I$2&amp;$A$1,doses_results!$C$2:$C$400&amp;doses_results!$K$2:$K$400&amp;doses_results!$J$2:$J$400&amp;doses_results!$I$2:$I$400,doses_results!$L$2:$L$400,"",0)</f>
        <v>0.95[0.48,1.42]</v>
      </c>
      <c r="J34" t="str" cm="1">
        <f t="array" ref="J34">_xlfn.XLOOKUP($A34&amp;J$3&amp;$I$2&amp;$A$1,doses_results!$C$2:$C$400&amp;doses_results!$K$2:$K$400&amp;doses_results!$J$2:$J$400&amp;doses_results!$I$2:$I$400,doses_results!$L$2:$L$400,"",0)</f>
        <v>0.89[0.33,1.44]</v>
      </c>
    </row>
    <row r="35" spans="1:10" x14ac:dyDescent="0.25">
      <c r="A35" t="s">
        <v>107</v>
      </c>
      <c r="B35" t="s">
        <v>142</v>
      </c>
      <c r="C35" t="str" cm="1">
        <f t="array" ref="C35">_xlfn.XLOOKUP($A35&amp;C$3&amp;$C$2&amp;$A$1,doses_results!$C$2:$C$400&amp;doses_results!$K$2:$K$400&amp;doses_results!$J$2:$J$400&amp;doses_results!$I$2:$I$400,doses_results!$L$2:$L$400,"",0)</f>
        <v/>
      </c>
      <c r="D35" t="str" cm="1">
        <f t="array" ref="D35">_xlfn.XLOOKUP($A35&amp;D$3&amp;$C$2&amp;$A$1,doses_results!$C$2:$C$400&amp;doses_results!$K$2:$K$400&amp;doses_results!$J$2:$J$400&amp;doses_results!$I$2:$I$400,doses_results!$L$2:$L$400,"",0)</f>
        <v/>
      </c>
      <c r="E35" t="str" cm="1">
        <f t="array" ref="E35">_xlfn.XLOOKUP($A35&amp;E$3&amp;$C$2&amp;$A$1,doses_results!$C$2:$C$400&amp;doses_results!$K$2:$K$400&amp;doses_results!$J$2:$J$400&amp;doses_results!$I$2:$I$400,doses_results!$L$2:$L$400,"",0)</f>
        <v/>
      </c>
      <c r="F35" t="str" cm="1">
        <f t="array" ref="F35">_xlfn.XLOOKUP($A35&amp;F$3&amp;$F$2&amp;$A$1,doses_results!$C$2:$C$400&amp;doses_results!$K$2:$K$400&amp;doses_results!$J$2:$J$400&amp;doses_results!$I$2:$I$400,doses_results!$L$2:$L$400,"",0)</f>
        <v/>
      </c>
      <c r="G35" t="str" cm="1">
        <f t="array" ref="G35">_xlfn.XLOOKUP($A35&amp;G$3&amp;$F$2&amp;$A$1,doses_results!$C$2:$C$400&amp;doses_results!$K$2:$K$400&amp;doses_results!$J$2:$J$400&amp;doses_results!$I$2:$I$400,doses_results!$L$2:$L$400,"",0)</f>
        <v/>
      </c>
      <c r="H35" t="str" cm="1">
        <f t="array" ref="H35">_xlfn.XLOOKUP($A35&amp;H$3&amp;$C$2&amp;$A$1,doses_results!$C$2:$C$400&amp;doses_results!$K$2:$K$400&amp;doses_results!$J$2:$J$400&amp;doses_results!$I$2:$I$400,doses_results!$L$2:$L$400,"",0)</f>
        <v/>
      </c>
      <c r="I35" t="str" cm="1">
        <f t="array" ref="I35">_xlfn.XLOOKUP($A35&amp;I$3&amp;$I$2&amp;$A$1,doses_results!$C$2:$C$400&amp;doses_results!$K$2:$K$400&amp;doses_results!$J$2:$J$400&amp;doses_results!$I$2:$I$400,doses_results!$L$2:$L$400,"",0)</f>
        <v/>
      </c>
      <c r="J35" t="str" cm="1">
        <f t="array" ref="J35">_xlfn.XLOOKUP($A35&amp;J$3&amp;$I$2&amp;$A$1,doses_results!$C$2:$C$400&amp;doses_results!$K$2:$K$400&amp;doses_results!$J$2:$J$400&amp;doses_results!$I$2:$I$400,doses_results!$L$2:$L$400,"",0)</f>
        <v>0.12[-1.39,1.63]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4B36-6412-4C5B-A862-4EA8DA2C3513}">
  <sheetPr>
    <tabColor theme="6"/>
  </sheetPr>
  <dimension ref="A1:R277"/>
  <sheetViews>
    <sheetView workbookViewId="0">
      <selection activeCell="C3" sqref="C3"/>
    </sheetView>
  </sheetViews>
  <sheetFormatPr defaultRowHeight="15" x14ac:dyDescent="0.25"/>
  <cols>
    <col min="9" max="9" width="14.85546875" bestFit="1" customWidth="1"/>
  </cols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138</v>
      </c>
    </row>
    <row r="2" spans="1:18" x14ac:dyDescent="0.25">
      <c r="A2">
        <v>1</v>
      </c>
      <c r="B2" t="s">
        <v>10</v>
      </c>
      <c r="C2" t="s">
        <v>10</v>
      </c>
      <c r="D2">
        <v>3.7496969082886298</v>
      </c>
      <c r="E2">
        <v>-2.3606153324039401</v>
      </c>
      <c r="F2">
        <v>9.8600091489812005</v>
      </c>
      <c r="G2">
        <v>224.29752565911301</v>
      </c>
      <c r="H2">
        <v>318.03235030681901</v>
      </c>
      <c r="I2" t="s">
        <v>102</v>
      </c>
      <c r="J2" t="s">
        <v>12</v>
      </c>
      <c r="K2" t="s">
        <v>13</v>
      </c>
      <c r="L2" t="str">
        <f>TEXT(ROUND(D2,2),"0.00") &amp; "[" &amp; TEXT(ROUND(E2,2),"0.00") &amp; "," &amp; TEXT(ROUND(F2,2),"0.00") &amp; "]"</f>
        <v>3.75[-2.36,9.86]</v>
      </c>
    </row>
    <row r="3" spans="1:18" x14ac:dyDescent="0.25">
      <c r="A3">
        <v>2</v>
      </c>
      <c r="B3" t="s">
        <v>14</v>
      </c>
      <c r="C3" t="s">
        <v>14</v>
      </c>
      <c r="D3" s="10">
        <v>8.16273802705358E-5</v>
      </c>
      <c r="E3" s="10">
        <v>4.5908658034118299E-5</v>
      </c>
      <c r="F3">
        <v>1.1734610250695E-4</v>
      </c>
      <c r="G3">
        <v>224.29752565911301</v>
      </c>
      <c r="H3">
        <v>318.03235030681901</v>
      </c>
      <c r="I3" t="s">
        <v>102</v>
      </c>
      <c r="J3" t="s">
        <v>12</v>
      </c>
      <c r="K3" t="s">
        <v>13</v>
      </c>
      <c r="L3" t="str">
        <f t="shared" ref="L3:L66" si="0">TEXT(ROUND(D3,2),"0.00") &amp; "[" &amp; TEXT(ROUND(E3,2),"0.00") &amp; "," &amp; TEXT(ROUND(F3,2),"0.00") &amp; "]"</f>
        <v>0.00[0.00,0.00]</v>
      </c>
      <c r="P3" t="str" cm="1">
        <f t="array" ref="P3:P38">_xlfn.UNIQUE(C2:C300)</f>
        <v>(Intercept)</v>
      </c>
      <c r="R3" t="s">
        <v>10</v>
      </c>
    </row>
    <row r="4" spans="1:18" x14ac:dyDescent="0.25">
      <c r="A4">
        <v>3</v>
      </c>
      <c r="B4" t="s">
        <v>15</v>
      </c>
      <c r="C4" t="s">
        <v>15</v>
      </c>
      <c r="D4">
        <v>-4.9282745189624402</v>
      </c>
      <c r="E4">
        <v>-10.948022866815901</v>
      </c>
      <c r="F4">
        <v>1.09147382889099</v>
      </c>
      <c r="G4">
        <v>224.29752565911301</v>
      </c>
      <c r="H4">
        <v>318.03235030681901</v>
      </c>
      <c r="I4" t="s">
        <v>102</v>
      </c>
      <c r="J4" t="s">
        <v>12</v>
      </c>
      <c r="K4" t="s">
        <v>13</v>
      </c>
      <c r="L4" t="str">
        <f t="shared" si="0"/>
        <v>-4.93[-10.95,1.09]</v>
      </c>
      <c r="P4" t="str">
        <v>Pop_per_km2</v>
      </c>
      <c r="R4" t="s">
        <v>14</v>
      </c>
    </row>
    <row r="5" spans="1:18" x14ac:dyDescent="0.25">
      <c r="A5">
        <v>4</v>
      </c>
      <c r="B5" t="s">
        <v>16</v>
      </c>
      <c r="C5" t="s">
        <v>16</v>
      </c>
      <c r="D5">
        <v>-0.84744431439238499</v>
      </c>
      <c r="E5">
        <v>-7.0880873670401003</v>
      </c>
      <c r="F5">
        <v>5.3931987382553297</v>
      </c>
      <c r="G5">
        <v>224.29752565911301</v>
      </c>
      <c r="H5">
        <v>318.03235030681901</v>
      </c>
      <c r="I5" t="s">
        <v>102</v>
      </c>
      <c r="J5" t="s">
        <v>12</v>
      </c>
      <c r="K5" t="s">
        <v>13</v>
      </c>
      <c r="L5" t="str">
        <f t="shared" si="0"/>
        <v>-0.85[-7.09,5.39]</v>
      </c>
      <c r="P5" t="str">
        <v>prop_travelling_to_work</v>
      </c>
      <c r="R5" t="s">
        <v>15</v>
      </c>
    </row>
    <row r="6" spans="1:18" x14ac:dyDescent="0.25">
      <c r="A6">
        <v>5</v>
      </c>
      <c r="B6" t="s">
        <v>17</v>
      </c>
      <c r="C6" t="s">
        <v>17</v>
      </c>
      <c r="D6">
        <v>3.1726921627213698</v>
      </c>
      <c r="E6">
        <v>1.66781230293702</v>
      </c>
      <c r="F6">
        <v>4.6775720225057196</v>
      </c>
      <c r="G6">
        <v>224.29752565911301</v>
      </c>
      <c r="H6">
        <v>318.03235030681901</v>
      </c>
      <c r="I6" t="s">
        <v>102</v>
      </c>
      <c r="J6" t="s">
        <v>12</v>
      </c>
      <c r="K6" t="s">
        <v>13</v>
      </c>
      <c r="L6" t="str">
        <f t="shared" si="0"/>
        <v>3.17[1.67,4.68]</v>
      </c>
      <c r="P6" t="str">
        <v>prop_not_in_work</v>
      </c>
      <c r="R6" t="s">
        <v>16</v>
      </c>
    </row>
    <row r="7" spans="1:18" x14ac:dyDescent="0.25">
      <c r="A7">
        <v>6</v>
      </c>
      <c r="B7" t="s">
        <v>18</v>
      </c>
      <c r="C7" t="s">
        <v>18</v>
      </c>
      <c r="D7">
        <v>0.25274763078684798</v>
      </c>
      <c r="E7">
        <v>-4.74631127486591</v>
      </c>
      <c r="F7">
        <v>5.2518065364395996</v>
      </c>
      <c r="G7">
        <v>224.29752565911301</v>
      </c>
      <c r="H7">
        <v>318.03235030681901</v>
      </c>
      <c r="I7" t="s">
        <v>102</v>
      </c>
      <c r="J7" t="s">
        <v>12</v>
      </c>
      <c r="K7" t="s">
        <v>13</v>
      </c>
      <c r="L7" t="str">
        <f t="shared" si="0"/>
        <v>0.25[-4.75,5.25]</v>
      </c>
      <c r="P7" t="str">
        <v>prop_all_other_white</v>
      </c>
      <c r="R7" t="s">
        <v>17</v>
      </c>
    </row>
    <row r="8" spans="1:18" x14ac:dyDescent="0.25">
      <c r="A8">
        <v>7</v>
      </c>
      <c r="B8" t="s">
        <v>19</v>
      </c>
      <c r="C8" t="s">
        <v>19</v>
      </c>
      <c r="D8">
        <v>1.9957959663631899</v>
      </c>
      <c r="E8">
        <v>1.24087893457163</v>
      </c>
      <c r="F8">
        <v>2.7507129981547398</v>
      </c>
      <c r="G8">
        <v>224.29752565911301</v>
      </c>
      <c r="H8">
        <v>318.03235030681901</v>
      </c>
      <c r="I8" t="s">
        <v>102</v>
      </c>
      <c r="J8" t="s">
        <v>12</v>
      </c>
      <c r="K8" t="s">
        <v>13</v>
      </c>
      <c r="L8" t="str">
        <f t="shared" si="0"/>
        <v>2.00[1.24,2.75]</v>
      </c>
      <c r="P8" t="str">
        <v>prop_mixed_multiple</v>
      </c>
      <c r="R8" t="s">
        <v>18</v>
      </c>
    </row>
    <row r="9" spans="1:18" x14ac:dyDescent="0.25">
      <c r="A9">
        <v>8</v>
      </c>
      <c r="B9" t="s">
        <v>20</v>
      </c>
      <c r="C9" t="s">
        <v>20</v>
      </c>
      <c r="D9">
        <v>-0.60898306724529105</v>
      </c>
      <c r="E9">
        <v>-2.6625654679895101</v>
      </c>
      <c r="F9">
        <v>1.44459933349893</v>
      </c>
      <c r="G9">
        <v>224.29752565911301</v>
      </c>
      <c r="H9">
        <v>318.03235030681901</v>
      </c>
      <c r="I9" t="s">
        <v>102</v>
      </c>
      <c r="J9" t="s">
        <v>12</v>
      </c>
      <c r="K9" t="s">
        <v>13</v>
      </c>
      <c r="L9" t="str">
        <f t="shared" si="0"/>
        <v>-0.61[-2.66,1.44]</v>
      </c>
      <c r="P9" t="str">
        <v>prop_asian</v>
      </c>
      <c r="R9" t="s">
        <v>19</v>
      </c>
    </row>
    <row r="10" spans="1:18" x14ac:dyDescent="0.25">
      <c r="A10">
        <v>9</v>
      </c>
      <c r="B10" t="s">
        <v>21</v>
      </c>
      <c r="C10" t="s">
        <v>21</v>
      </c>
      <c r="D10">
        <v>1.40981726926298</v>
      </c>
      <c r="E10">
        <v>-2.5033738518255402</v>
      </c>
      <c r="F10">
        <v>5.3230083903515002</v>
      </c>
      <c r="G10">
        <v>224.29752565911301</v>
      </c>
      <c r="H10">
        <v>318.03235030681901</v>
      </c>
      <c r="I10" t="s">
        <v>102</v>
      </c>
      <c r="J10" t="s">
        <v>12</v>
      </c>
      <c r="K10" t="s">
        <v>13</v>
      </c>
      <c r="L10" t="str">
        <f t="shared" si="0"/>
        <v>1.41[-2.50,5.32]</v>
      </c>
      <c r="P10" t="str">
        <v>prop_black_afr_car</v>
      </c>
      <c r="R10" t="s">
        <v>20</v>
      </c>
    </row>
    <row r="11" spans="1:18" x14ac:dyDescent="0.25">
      <c r="A11">
        <v>10</v>
      </c>
      <c r="B11" t="s">
        <v>22</v>
      </c>
      <c r="C11" t="s">
        <v>22</v>
      </c>
      <c r="D11">
        <v>2.2598512837866399E-2</v>
      </c>
      <c r="E11">
        <v>-1.53886906078882E-2</v>
      </c>
      <c r="F11">
        <v>6.0585716283620999E-2</v>
      </c>
      <c r="G11">
        <v>224.29752565911301</v>
      </c>
      <c r="H11">
        <v>318.03235030681901</v>
      </c>
      <c r="I11" t="s">
        <v>102</v>
      </c>
      <c r="J11" t="s">
        <v>12</v>
      </c>
      <c r="K11" t="s">
        <v>13</v>
      </c>
      <c r="L11" t="str">
        <f t="shared" si="0"/>
        <v>0.02[-0.02,0.06]</v>
      </c>
      <c r="P11" t="str">
        <v>prop_other</v>
      </c>
      <c r="R11" t="s">
        <v>21</v>
      </c>
    </row>
    <row r="12" spans="1:18" x14ac:dyDescent="0.25">
      <c r="A12">
        <v>11</v>
      </c>
      <c r="B12" t="s">
        <v>23</v>
      </c>
      <c r="C12" t="s">
        <v>23</v>
      </c>
      <c r="D12">
        <v>-3.7906595177823199</v>
      </c>
      <c r="E12">
        <v>-7.7184777539742697</v>
      </c>
      <c r="F12">
        <v>0.13715871840962901</v>
      </c>
      <c r="G12">
        <v>224.29752565911301</v>
      </c>
      <c r="H12">
        <v>318.03235030681901</v>
      </c>
      <c r="I12" t="s">
        <v>102</v>
      </c>
      <c r="J12" t="s">
        <v>12</v>
      </c>
      <c r="K12" t="s">
        <v>13</v>
      </c>
      <c r="L12" t="str">
        <f t="shared" si="0"/>
        <v>-3.79[-7.72,0.14]</v>
      </c>
      <c r="P12" t="str">
        <v>IMD_Average_score</v>
      </c>
      <c r="R12" t="s">
        <v>22</v>
      </c>
    </row>
    <row r="13" spans="1:18" x14ac:dyDescent="0.25">
      <c r="A13">
        <v>12</v>
      </c>
      <c r="B13" t="s">
        <v>24</v>
      </c>
      <c r="C13" t="s">
        <v>24</v>
      </c>
      <c r="D13">
        <v>8.5599555116719106</v>
      </c>
      <c r="E13">
        <v>4.8567244797246296</v>
      </c>
      <c r="F13">
        <v>12.2631865436192</v>
      </c>
      <c r="G13">
        <v>224.29752565911301</v>
      </c>
      <c r="H13">
        <v>318.03235030681901</v>
      </c>
      <c r="I13" t="s">
        <v>102</v>
      </c>
      <c r="J13" t="s">
        <v>12</v>
      </c>
      <c r="K13" t="s">
        <v>13</v>
      </c>
      <c r="L13" t="str">
        <f t="shared" si="0"/>
        <v>8.56[4.86,12.26]</v>
      </c>
      <c r="P13" t="str">
        <v>prop_o65</v>
      </c>
      <c r="R13" t="s">
        <v>23</v>
      </c>
    </row>
    <row r="14" spans="1:18" x14ac:dyDescent="0.25">
      <c r="A14">
        <v>13</v>
      </c>
      <c r="B14" t="s">
        <v>25</v>
      </c>
      <c r="C14" t="s">
        <v>25</v>
      </c>
      <c r="D14" s="10">
        <v>-9.4225071942977207E-6</v>
      </c>
      <c r="E14" s="10">
        <v>-2.7165208965285202E-5</v>
      </c>
      <c r="F14" s="10">
        <v>8.3201945766897806E-6</v>
      </c>
      <c r="G14">
        <v>224.29752565911301</v>
      </c>
      <c r="H14">
        <v>318.03235030681901</v>
      </c>
      <c r="I14" t="s">
        <v>102</v>
      </c>
      <c r="J14" t="s">
        <v>12</v>
      </c>
      <c r="K14" t="s">
        <v>13</v>
      </c>
      <c r="L14" t="str">
        <f t="shared" si="0"/>
        <v>0.00[0.00,0.00]</v>
      </c>
      <c r="P14" t="str">
        <v>prop_u25</v>
      </c>
      <c r="R14" t="s">
        <v>24</v>
      </c>
    </row>
    <row r="15" spans="1:18" x14ac:dyDescent="0.25">
      <c r="A15">
        <v>14</v>
      </c>
      <c r="B15" t="s">
        <v>26</v>
      </c>
      <c r="C15" t="s">
        <v>26</v>
      </c>
      <c r="D15">
        <v>7.3693668786080097E-3</v>
      </c>
      <c r="E15">
        <v>-8.9906557577196199E-3</v>
      </c>
      <c r="F15">
        <v>2.3729389514935601E-2</v>
      </c>
      <c r="G15">
        <v>224.29752565911301</v>
      </c>
      <c r="H15">
        <v>318.03235030681901</v>
      </c>
      <c r="I15" t="s">
        <v>102</v>
      </c>
      <c r="J15" t="s">
        <v>12</v>
      </c>
      <c r="K15" t="s">
        <v>13</v>
      </c>
      <c r="L15" t="str">
        <f t="shared" si="0"/>
        <v>0.01[-0.01,0.02]</v>
      </c>
      <c r="P15" t="str">
        <v>Median_annual_income</v>
      </c>
      <c r="R15" t="s">
        <v>25</v>
      </c>
    </row>
    <row r="16" spans="1:18" x14ac:dyDescent="0.25">
      <c r="A16">
        <v>15</v>
      </c>
      <c r="B16" t="s">
        <v>27</v>
      </c>
      <c r="C16" t="s">
        <v>27</v>
      </c>
      <c r="D16">
        <v>2.5896939111949499E-2</v>
      </c>
      <c r="E16">
        <v>1.6134349891861799E-2</v>
      </c>
      <c r="F16">
        <v>3.5659528332037199E-2</v>
      </c>
      <c r="G16">
        <v>224.29752565911301</v>
      </c>
      <c r="H16">
        <v>318.03235030681901</v>
      </c>
      <c r="I16" t="s">
        <v>102</v>
      </c>
      <c r="J16" t="s">
        <v>12</v>
      </c>
      <c r="K16" t="s">
        <v>13</v>
      </c>
      <c r="L16" t="str">
        <f t="shared" si="0"/>
        <v>0.03[0.02,0.04]</v>
      </c>
      <c r="P16" t="str">
        <v>Other_proportion</v>
      </c>
      <c r="R16" t="s">
        <v>26</v>
      </c>
    </row>
    <row r="17" spans="1:18" x14ac:dyDescent="0.25">
      <c r="A17">
        <v>16</v>
      </c>
      <c r="B17" t="s">
        <v>28</v>
      </c>
      <c r="C17" t="s">
        <v>28</v>
      </c>
      <c r="D17">
        <v>6.0732769522480598E-3</v>
      </c>
      <c r="E17">
        <v>-9.0419800839507906E-3</v>
      </c>
      <c r="F17">
        <v>2.11885339884469E-2</v>
      </c>
      <c r="G17">
        <v>224.29752565911301</v>
      </c>
      <c r="H17">
        <v>318.03235030681901</v>
      </c>
      <c r="I17" t="s">
        <v>102</v>
      </c>
      <c r="J17" t="s">
        <v>12</v>
      </c>
      <c r="K17" t="s">
        <v>13</v>
      </c>
      <c r="L17" t="str">
        <f t="shared" si="0"/>
        <v>0.01[-0.01,0.02]</v>
      </c>
      <c r="P17" t="str">
        <v>unringfenced_percapita</v>
      </c>
      <c r="R17" t="s">
        <v>27</v>
      </c>
    </row>
    <row r="18" spans="1:18" x14ac:dyDescent="0.25">
      <c r="A18">
        <v>17</v>
      </c>
      <c r="B18" t="s">
        <v>29</v>
      </c>
      <c r="C18" t="s">
        <v>29</v>
      </c>
      <c r="D18">
        <v>2.6019507628896002E-4</v>
      </c>
      <c r="E18">
        <v>-1.7605645607075501E-2</v>
      </c>
      <c r="F18">
        <v>1.8126035759653401E-2</v>
      </c>
      <c r="G18">
        <v>224.29752565911301</v>
      </c>
      <c r="H18">
        <v>318.03235030681901</v>
      </c>
      <c r="I18" t="s">
        <v>102</v>
      </c>
      <c r="J18" t="s">
        <v>12</v>
      </c>
      <c r="K18" t="s">
        <v>13</v>
      </c>
      <c r="L18" t="str">
        <f t="shared" si="0"/>
        <v>0.00[-0.02,0.02]</v>
      </c>
      <c r="P18" t="str">
        <v>ASC_infection_control_fund_percapita</v>
      </c>
      <c r="R18" t="s">
        <v>28</v>
      </c>
    </row>
    <row r="19" spans="1:18" x14ac:dyDescent="0.25">
      <c r="A19">
        <v>18</v>
      </c>
      <c r="B19" t="s">
        <v>30</v>
      </c>
      <c r="C19" t="s">
        <v>30</v>
      </c>
      <c r="D19">
        <v>4.9487510773651699</v>
      </c>
      <c r="E19">
        <v>-2.88875990887614</v>
      </c>
      <c r="F19">
        <v>12.7862620636065</v>
      </c>
      <c r="G19">
        <v>224.29752565911301</v>
      </c>
      <c r="H19">
        <v>318.03235030681901</v>
      </c>
      <c r="I19" t="s">
        <v>102</v>
      </c>
      <c r="J19" t="s">
        <v>12</v>
      </c>
      <c r="K19" t="s">
        <v>13</v>
      </c>
      <c r="L19" t="str">
        <f t="shared" si="0"/>
        <v>4.95[-2.89,12.79]</v>
      </c>
      <c r="P19" t="str">
        <v>contain_outbreak_management_percapita</v>
      </c>
      <c r="R19" t="s">
        <v>29</v>
      </c>
    </row>
    <row r="20" spans="1:18" x14ac:dyDescent="0.25">
      <c r="A20">
        <v>19</v>
      </c>
      <c r="B20" t="s">
        <v>31</v>
      </c>
      <c r="C20" t="s">
        <v>31</v>
      </c>
      <c r="D20">
        <v>-4.78864937898999</v>
      </c>
      <c r="E20">
        <v>-14.838035315372601</v>
      </c>
      <c r="F20">
        <v>5.2607365573926304</v>
      </c>
      <c r="G20">
        <v>224.29752565911301</v>
      </c>
      <c r="H20">
        <v>318.03235030681901</v>
      </c>
      <c r="I20" t="s">
        <v>102</v>
      </c>
      <c r="J20" t="s">
        <v>12</v>
      </c>
      <c r="K20" t="s">
        <v>13</v>
      </c>
      <c r="L20" t="str">
        <f t="shared" si="0"/>
        <v>-4.79[-14.84,5.26]</v>
      </c>
      <c r="P20" t="str">
        <v>Income_score</v>
      </c>
      <c r="R20" t="s">
        <v>30</v>
      </c>
    </row>
    <row r="21" spans="1:18" x14ac:dyDescent="0.25">
      <c r="A21">
        <v>20</v>
      </c>
      <c r="B21" t="s">
        <v>32</v>
      </c>
      <c r="C21" t="s">
        <v>32</v>
      </c>
      <c r="D21">
        <v>8.2212031805792003E-4</v>
      </c>
      <c r="E21">
        <v>-1.2159541220836401E-2</v>
      </c>
      <c r="F21">
        <v>1.38037818569522E-2</v>
      </c>
      <c r="G21">
        <v>224.29752565911301</v>
      </c>
      <c r="H21">
        <v>318.03235030681901</v>
      </c>
      <c r="I21" t="s">
        <v>102</v>
      </c>
      <c r="J21" t="s">
        <v>12</v>
      </c>
      <c r="K21" t="s">
        <v>13</v>
      </c>
      <c r="L21" t="str">
        <f t="shared" si="0"/>
        <v>0.00[-0.01,0.01]</v>
      </c>
      <c r="P21" t="str">
        <v>Employment_score</v>
      </c>
      <c r="R21" t="s">
        <v>31</v>
      </c>
    </row>
    <row r="22" spans="1:18" x14ac:dyDescent="0.25">
      <c r="A22">
        <v>21</v>
      </c>
      <c r="B22" t="s">
        <v>33</v>
      </c>
      <c r="C22" t="s">
        <v>33</v>
      </c>
      <c r="D22">
        <v>0.14719903440097601</v>
      </c>
      <c r="E22">
        <v>-5.4546442050759002E-2</v>
      </c>
      <c r="F22">
        <v>0.348944510852711</v>
      </c>
      <c r="G22">
        <v>224.29752565911301</v>
      </c>
      <c r="H22">
        <v>318.03235030681901</v>
      </c>
      <c r="I22" t="s">
        <v>102</v>
      </c>
      <c r="J22" t="s">
        <v>12</v>
      </c>
      <c r="K22" t="s">
        <v>13</v>
      </c>
      <c r="L22" t="str">
        <f t="shared" si="0"/>
        <v>0.15[-0.05,0.35]</v>
      </c>
      <c r="P22" t="str">
        <v>Education_Skills_and_Training_score</v>
      </c>
      <c r="R22" t="s">
        <v>32</v>
      </c>
    </row>
    <row r="23" spans="1:18" x14ac:dyDescent="0.25">
      <c r="A23">
        <v>22</v>
      </c>
      <c r="B23" t="s">
        <v>34</v>
      </c>
      <c r="C23" t="s">
        <v>34</v>
      </c>
      <c r="D23">
        <v>1.2695773484264899E-2</v>
      </c>
      <c r="E23">
        <v>-0.13692586173738</v>
      </c>
      <c r="F23">
        <v>0.16231740870590999</v>
      </c>
      <c r="G23">
        <v>224.29752565911301</v>
      </c>
      <c r="H23">
        <v>318.03235030681901</v>
      </c>
      <c r="I23" t="s">
        <v>102</v>
      </c>
      <c r="J23" t="s">
        <v>12</v>
      </c>
      <c r="K23" t="s">
        <v>13</v>
      </c>
      <c r="L23" t="str">
        <f t="shared" si="0"/>
        <v>0.01[-0.14,0.16]</v>
      </c>
      <c r="P23" t="str">
        <v>Health_Deprivation_and_Disability_score</v>
      </c>
      <c r="R23" t="s">
        <v>33</v>
      </c>
    </row>
    <row r="24" spans="1:18" x14ac:dyDescent="0.25">
      <c r="A24">
        <v>23</v>
      </c>
      <c r="B24" t="s">
        <v>35</v>
      </c>
      <c r="C24" t="s">
        <v>35</v>
      </c>
      <c r="D24">
        <v>3.3628527869062601E-3</v>
      </c>
      <c r="E24">
        <v>-8.9339456826454996E-3</v>
      </c>
      <c r="F24">
        <v>1.5659651256458001E-2</v>
      </c>
      <c r="G24">
        <v>224.29752565911301</v>
      </c>
      <c r="H24">
        <v>318.03235030681901</v>
      </c>
      <c r="I24" t="s">
        <v>102</v>
      </c>
      <c r="J24" t="s">
        <v>12</v>
      </c>
      <c r="K24" t="s">
        <v>13</v>
      </c>
      <c r="L24" t="str">
        <f t="shared" si="0"/>
        <v>0.00[-0.01,0.02]</v>
      </c>
      <c r="P24" t="str">
        <v>Crime_score</v>
      </c>
      <c r="R24" t="s">
        <v>34</v>
      </c>
    </row>
    <row r="25" spans="1:18" x14ac:dyDescent="0.25">
      <c r="A25">
        <v>24</v>
      </c>
      <c r="B25" t="s">
        <v>36</v>
      </c>
      <c r="C25" t="s">
        <v>36</v>
      </c>
      <c r="D25">
        <v>8.5007681549654802E-3</v>
      </c>
      <c r="E25">
        <v>5.6037841105849003E-4</v>
      </c>
      <c r="F25">
        <v>1.6441157898872499E-2</v>
      </c>
      <c r="G25">
        <v>224.29752565911301</v>
      </c>
      <c r="H25">
        <v>318.03235030681901</v>
      </c>
      <c r="I25" t="s">
        <v>102</v>
      </c>
      <c r="J25" t="s">
        <v>12</v>
      </c>
      <c r="K25" t="s">
        <v>13</v>
      </c>
      <c r="L25" t="str">
        <f t="shared" si="0"/>
        <v>0.01[0.00,0.02]</v>
      </c>
      <c r="P25" t="str">
        <v>Barriers_to_Housing_and_Services_score</v>
      </c>
      <c r="R25" t="s">
        <v>35</v>
      </c>
    </row>
    <row r="26" spans="1:18" x14ac:dyDescent="0.25">
      <c r="A26">
        <v>25</v>
      </c>
      <c r="B26" t="s">
        <v>37</v>
      </c>
      <c r="C26" t="s">
        <v>10</v>
      </c>
      <c r="D26">
        <v>-22.938257575474399</v>
      </c>
      <c r="E26">
        <v>-49.902309913801602</v>
      </c>
      <c r="F26">
        <v>4.0257947628526596</v>
      </c>
      <c r="G26">
        <v>1156.58029886913</v>
      </c>
      <c r="H26">
        <v>1250.31512351683</v>
      </c>
      <c r="I26" t="s">
        <v>103</v>
      </c>
      <c r="J26" t="s">
        <v>12</v>
      </c>
      <c r="K26" t="s">
        <v>13</v>
      </c>
      <c r="L26" t="str">
        <f t="shared" si="0"/>
        <v>-22.94[-49.90,4.03]</v>
      </c>
      <c r="P26" t="str">
        <v>Living_Environment_score</v>
      </c>
      <c r="R26" t="s">
        <v>36</v>
      </c>
    </row>
    <row r="27" spans="1:18" x14ac:dyDescent="0.25">
      <c r="A27">
        <v>26</v>
      </c>
      <c r="B27" t="s">
        <v>39</v>
      </c>
      <c r="C27" t="s">
        <v>14</v>
      </c>
      <c r="D27">
        <v>-3.4753740453249998E-4</v>
      </c>
      <c r="E27">
        <v>-5.0515970890948995E-4</v>
      </c>
      <c r="F27">
        <v>-1.899151001555E-4</v>
      </c>
      <c r="G27">
        <v>1156.58029886913</v>
      </c>
      <c r="H27">
        <v>1250.31512351683</v>
      </c>
      <c r="I27" t="s">
        <v>103</v>
      </c>
      <c r="J27" t="s">
        <v>12</v>
      </c>
      <c r="K27" t="s">
        <v>13</v>
      </c>
      <c r="L27" t="str">
        <f t="shared" si="0"/>
        <v>0.00[0.00,0.00]</v>
      </c>
      <c r="P27" t="str">
        <v>Median_age</v>
      </c>
      <c r="R27" t="s">
        <v>89</v>
      </c>
    </row>
    <row r="28" spans="1:18" x14ac:dyDescent="0.25">
      <c r="A28">
        <v>27</v>
      </c>
      <c r="B28" t="s">
        <v>40</v>
      </c>
      <c r="C28" t="s">
        <v>15</v>
      </c>
      <c r="D28">
        <v>35.974545080385802</v>
      </c>
      <c r="E28">
        <v>9.41014000234345</v>
      </c>
      <c r="F28">
        <v>62.5389501584282</v>
      </c>
      <c r="G28">
        <v>1156.58029886913</v>
      </c>
      <c r="H28">
        <v>1250.31512351683</v>
      </c>
      <c r="I28" t="s">
        <v>103</v>
      </c>
      <c r="J28" t="s">
        <v>12</v>
      </c>
      <c r="K28" t="s">
        <v>13</v>
      </c>
      <c r="L28" t="str">
        <f t="shared" si="0"/>
        <v>35.97[9.41,62.54]</v>
      </c>
      <c r="P28" t="str">
        <v>no_jobs</v>
      </c>
      <c r="R28" t="s">
        <v>97</v>
      </c>
    </row>
    <row r="29" spans="1:18" x14ac:dyDescent="0.25">
      <c r="A29">
        <v>28</v>
      </c>
      <c r="B29" t="s">
        <v>41</v>
      </c>
      <c r="C29" t="s">
        <v>16</v>
      </c>
      <c r="D29">
        <v>30.789056680731701</v>
      </c>
      <c r="E29">
        <v>3.2498705854991199</v>
      </c>
      <c r="F29">
        <v>58.328242775964299</v>
      </c>
      <c r="G29">
        <v>1156.58029886913</v>
      </c>
      <c r="H29">
        <v>1250.31512351683</v>
      </c>
      <c r="I29" t="s">
        <v>103</v>
      </c>
      <c r="J29" t="s">
        <v>12</v>
      </c>
      <c r="K29" t="s">
        <v>13</v>
      </c>
      <c r="L29" t="str">
        <f t="shared" si="0"/>
        <v>30.79[3.25,58.33]</v>
      </c>
      <c r="P29" t="str">
        <v>residential_percent_change_from_baseline</v>
      </c>
      <c r="R29" t="s">
        <v>105</v>
      </c>
    </row>
    <row r="30" spans="1:18" x14ac:dyDescent="0.25">
      <c r="A30">
        <v>29</v>
      </c>
      <c r="B30" t="s">
        <v>42</v>
      </c>
      <c r="C30" t="s">
        <v>17</v>
      </c>
      <c r="D30">
        <v>6.6949521110491403</v>
      </c>
      <c r="E30">
        <v>5.41033780030062E-2</v>
      </c>
      <c r="F30">
        <v>13.335800844095299</v>
      </c>
      <c r="G30">
        <v>1156.58029886913</v>
      </c>
      <c r="H30">
        <v>1250.31512351683</v>
      </c>
      <c r="I30" t="s">
        <v>103</v>
      </c>
      <c r="J30" t="s">
        <v>12</v>
      </c>
      <c r="K30" t="s">
        <v>13</v>
      </c>
      <c r="L30" t="str">
        <f t="shared" si="0"/>
        <v>6.69[0.05,13.34]</v>
      </c>
      <c r="P30" t="str">
        <v>Specialised_services</v>
      </c>
      <c r="R30" t="s">
        <v>106</v>
      </c>
    </row>
    <row r="31" spans="1:18" x14ac:dyDescent="0.25">
      <c r="A31">
        <v>30</v>
      </c>
      <c r="B31" t="s">
        <v>43</v>
      </c>
      <c r="C31" t="s">
        <v>18</v>
      </c>
      <c r="D31">
        <v>-4.7712308877830001</v>
      </c>
      <c r="E31">
        <v>-26.831459672281699</v>
      </c>
      <c r="F31">
        <v>17.288997896715699</v>
      </c>
      <c r="G31">
        <v>1156.58029886913</v>
      </c>
      <c r="H31">
        <v>1250.31512351683</v>
      </c>
      <c r="I31" t="s">
        <v>103</v>
      </c>
      <c r="J31" t="s">
        <v>12</v>
      </c>
      <c r="K31" t="s">
        <v>13</v>
      </c>
      <c r="L31" t="str">
        <f t="shared" si="0"/>
        <v>-4.77[-26.83,17.29]</v>
      </c>
      <c r="P31" t="str">
        <v>ASC_rapid_testing</v>
      </c>
      <c r="R31" t="s">
        <v>107</v>
      </c>
    </row>
    <row r="32" spans="1:18" x14ac:dyDescent="0.25">
      <c r="A32">
        <v>31</v>
      </c>
      <c r="B32" t="s">
        <v>44</v>
      </c>
      <c r="C32" t="s">
        <v>19</v>
      </c>
      <c r="D32">
        <v>23.023995271279201</v>
      </c>
      <c r="E32">
        <v>19.692639760383901</v>
      </c>
      <c r="F32">
        <v>26.355350782174501</v>
      </c>
      <c r="G32">
        <v>1156.58029886913</v>
      </c>
      <c r="H32">
        <v>1250.31512351683</v>
      </c>
      <c r="I32" t="s">
        <v>103</v>
      </c>
      <c r="J32" t="s">
        <v>12</v>
      </c>
      <c r="K32" t="s">
        <v>13</v>
      </c>
      <c r="L32" t="str">
        <f t="shared" si="0"/>
        <v>23.02[19.69,26.36]</v>
      </c>
      <c r="P32" t="str">
        <v>DWP_winter_grant_percapita</v>
      </c>
      <c r="R32" t="s">
        <v>98</v>
      </c>
    </row>
    <row r="33" spans="1:18" x14ac:dyDescent="0.25">
      <c r="A33">
        <v>32</v>
      </c>
      <c r="B33" t="s">
        <v>45</v>
      </c>
      <c r="C33" t="s">
        <v>20</v>
      </c>
      <c r="D33">
        <v>23.910921763028298</v>
      </c>
      <c r="E33">
        <v>14.8487165673641</v>
      </c>
      <c r="F33">
        <v>32.973126958692397</v>
      </c>
      <c r="G33">
        <v>1156.58029886913</v>
      </c>
      <c r="H33">
        <v>1250.31512351683</v>
      </c>
      <c r="I33" t="s">
        <v>103</v>
      </c>
      <c r="J33" t="s">
        <v>12</v>
      </c>
      <c r="K33" t="s">
        <v>13</v>
      </c>
      <c r="L33" t="str">
        <f t="shared" si="0"/>
        <v>23.91[14.85,32.97]</v>
      </c>
      <c r="P33" t="str">
        <v>sales_compensation</v>
      </c>
      <c r="R33" t="s">
        <v>108</v>
      </c>
    </row>
    <row r="34" spans="1:18" x14ac:dyDescent="0.25">
      <c r="A34">
        <v>33</v>
      </c>
      <c r="B34" t="s">
        <v>46</v>
      </c>
      <c r="C34" t="s">
        <v>21</v>
      </c>
      <c r="D34">
        <v>8.1755207191207599</v>
      </c>
      <c r="E34">
        <v>-9.0929078067098992</v>
      </c>
      <c r="F34">
        <v>25.443949244951401</v>
      </c>
      <c r="G34">
        <v>1156.58029886913</v>
      </c>
      <c r="H34">
        <v>1250.31512351683</v>
      </c>
      <c r="I34" t="s">
        <v>103</v>
      </c>
      <c r="J34" t="s">
        <v>12</v>
      </c>
      <c r="K34" t="s">
        <v>13</v>
      </c>
      <c r="L34" t="str">
        <f t="shared" si="0"/>
        <v>8.18[-9.09,25.44]</v>
      </c>
      <c r="P34" t="str">
        <v>fire_contingency</v>
      </c>
      <c r="R34" t="s">
        <v>109</v>
      </c>
    </row>
    <row r="35" spans="1:18" x14ac:dyDescent="0.25">
      <c r="A35">
        <v>34</v>
      </c>
      <c r="B35" t="s">
        <v>47</v>
      </c>
      <c r="C35" t="s">
        <v>22</v>
      </c>
      <c r="D35">
        <v>-3.6041726314762199E-3</v>
      </c>
      <c r="E35">
        <v>-0.171237004072822</v>
      </c>
      <c r="F35">
        <v>0.164028658809869</v>
      </c>
      <c r="G35">
        <v>1156.58029886913</v>
      </c>
      <c r="H35">
        <v>1250.31512351683</v>
      </c>
      <c r="I35" t="s">
        <v>103</v>
      </c>
      <c r="J35" t="s">
        <v>12</v>
      </c>
      <c r="K35" t="s">
        <v>13</v>
      </c>
      <c r="L35" t="str">
        <f>TEXT(ROUND(D35,2),"0.00") &amp; "[" &amp; TEXT(ROUND(E35,2),"0.00") &amp; "," &amp; TEXT(ROUND(F35,2),"0.00") &amp; "]"</f>
        <v>0.00[-0.17,0.16]</v>
      </c>
      <c r="P35" t="str">
        <v>protect_and_vaccinate</v>
      </c>
      <c r="R35" t="s">
        <v>110</v>
      </c>
    </row>
    <row r="36" spans="1:18" x14ac:dyDescent="0.25">
      <c r="A36">
        <v>35</v>
      </c>
      <c r="B36" t="s">
        <v>48</v>
      </c>
      <c r="C36" t="s">
        <v>23</v>
      </c>
      <c r="D36">
        <v>-32.154173182367103</v>
      </c>
      <c r="E36">
        <v>-49.487149358411301</v>
      </c>
      <c r="F36">
        <v>-14.821197006323001</v>
      </c>
      <c r="G36">
        <v>1156.58029886913</v>
      </c>
      <c r="H36">
        <v>1250.31512351683</v>
      </c>
      <c r="I36" t="s">
        <v>103</v>
      </c>
      <c r="J36" t="s">
        <v>12</v>
      </c>
      <c r="K36" t="s">
        <v>13</v>
      </c>
      <c r="L36" t="str">
        <f t="shared" si="0"/>
        <v>-32.15[-49.49,-14.82]</v>
      </c>
      <c r="P36" t="str">
        <v>Population</v>
      </c>
      <c r="R36" t="s">
        <v>96</v>
      </c>
    </row>
    <row r="37" spans="1:18" x14ac:dyDescent="0.25">
      <c r="A37">
        <v>36</v>
      </c>
      <c r="B37" t="s">
        <v>49</v>
      </c>
      <c r="C37" t="s">
        <v>24</v>
      </c>
      <c r="D37">
        <v>5.5023651902099999</v>
      </c>
      <c r="E37">
        <v>-10.839535425171</v>
      </c>
      <c r="F37">
        <v>21.844265805591</v>
      </c>
      <c r="G37">
        <v>1156.58029886913</v>
      </c>
      <c r="H37">
        <v>1250.31512351683</v>
      </c>
      <c r="I37" t="s">
        <v>103</v>
      </c>
      <c r="J37" t="s">
        <v>12</v>
      </c>
      <c r="K37" t="s">
        <v>13</v>
      </c>
      <c r="L37" t="str">
        <f t="shared" si="0"/>
        <v>5.50[-10.84,21.84]</v>
      </c>
      <c r="P37" t="str">
        <v>ASC_workforce_capacity</v>
      </c>
      <c r="R37" t="s">
        <v>156</v>
      </c>
    </row>
    <row r="38" spans="1:18" x14ac:dyDescent="0.25">
      <c r="A38">
        <v>37</v>
      </c>
      <c r="B38" t="s">
        <v>50</v>
      </c>
      <c r="C38" t="s">
        <v>25</v>
      </c>
      <c r="D38" s="10">
        <v>-6.5926615336997494E-5</v>
      </c>
      <c r="E38">
        <v>-1.4422296425189001E-4</v>
      </c>
      <c r="F38" s="10">
        <v>1.23697335779002E-5</v>
      </c>
      <c r="G38">
        <v>1156.58029886913</v>
      </c>
      <c r="H38">
        <v>1250.31512351683</v>
      </c>
      <c r="I38" t="s">
        <v>103</v>
      </c>
      <c r="J38" t="s">
        <v>12</v>
      </c>
      <c r="K38" t="s">
        <v>13</v>
      </c>
      <c r="L38" t="str">
        <f t="shared" si="0"/>
        <v>0.00[0.00,0.00]</v>
      </c>
      <c r="P38">
        <v>0</v>
      </c>
      <c r="R38">
        <v>0</v>
      </c>
    </row>
    <row r="39" spans="1:18" x14ac:dyDescent="0.25">
      <c r="A39">
        <v>38</v>
      </c>
      <c r="B39" t="s">
        <v>51</v>
      </c>
      <c r="C39" t="s">
        <v>26</v>
      </c>
      <c r="D39">
        <v>1.25082317384177E-2</v>
      </c>
      <c r="E39">
        <v>-5.9686525132493798E-2</v>
      </c>
      <c r="F39">
        <v>8.4702988609329205E-2</v>
      </c>
      <c r="G39">
        <v>1156.58029886913</v>
      </c>
      <c r="H39">
        <v>1250.31512351683</v>
      </c>
      <c r="I39" t="s">
        <v>103</v>
      </c>
      <c r="J39" t="s">
        <v>12</v>
      </c>
      <c r="K39" t="s">
        <v>13</v>
      </c>
      <c r="L39" t="str">
        <f t="shared" si="0"/>
        <v>0.01[-0.06,0.08]</v>
      </c>
    </row>
    <row r="40" spans="1:18" x14ac:dyDescent="0.25">
      <c r="A40">
        <v>39</v>
      </c>
      <c r="B40" t="s">
        <v>52</v>
      </c>
      <c r="C40" t="s">
        <v>27</v>
      </c>
      <c r="D40">
        <v>4.47562342523464E-2</v>
      </c>
      <c r="E40">
        <v>1.67513523175099E-3</v>
      </c>
      <c r="F40">
        <v>8.7837333272941701E-2</v>
      </c>
      <c r="G40">
        <v>1156.58029886913</v>
      </c>
      <c r="H40">
        <v>1250.31512351683</v>
      </c>
      <c r="I40" t="s">
        <v>103</v>
      </c>
      <c r="J40" t="s">
        <v>12</v>
      </c>
      <c r="K40" t="s">
        <v>13</v>
      </c>
      <c r="L40" t="str">
        <f t="shared" si="0"/>
        <v>0.04[0.00,0.09]</v>
      </c>
    </row>
    <row r="41" spans="1:18" x14ac:dyDescent="0.25">
      <c r="A41">
        <v>40</v>
      </c>
      <c r="B41" t="s">
        <v>53</v>
      </c>
      <c r="C41" t="s">
        <v>28</v>
      </c>
      <c r="D41">
        <v>2.4441388361521901E-2</v>
      </c>
      <c r="E41">
        <v>-4.2260371839383498E-2</v>
      </c>
      <c r="F41">
        <v>9.1143148562427403E-2</v>
      </c>
      <c r="G41">
        <v>1156.58029886913</v>
      </c>
      <c r="H41">
        <v>1250.31512351683</v>
      </c>
      <c r="I41" t="s">
        <v>103</v>
      </c>
      <c r="J41" t="s">
        <v>12</v>
      </c>
      <c r="K41" t="s">
        <v>13</v>
      </c>
      <c r="L41" t="str">
        <f t="shared" si="0"/>
        <v>0.02[-0.04,0.09]</v>
      </c>
    </row>
    <row r="42" spans="1:18" x14ac:dyDescent="0.25">
      <c r="A42">
        <v>41</v>
      </c>
      <c r="B42" t="s">
        <v>54</v>
      </c>
      <c r="C42" t="s">
        <v>29</v>
      </c>
      <c r="D42">
        <v>0.15802235872921799</v>
      </c>
      <c r="E42">
        <v>7.9182613020928799E-2</v>
      </c>
      <c r="F42">
        <v>0.23686210443750799</v>
      </c>
      <c r="G42">
        <v>1156.58029886913</v>
      </c>
      <c r="H42">
        <v>1250.31512351683</v>
      </c>
      <c r="I42" t="s">
        <v>103</v>
      </c>
      <c r="J42" t="s">
        <v>12</v>
      </c>
      <c r="K42" t="s">
        <v>13</v>
      </c>
      <c r="L42" t="str">
        <f t="shared" si="0"/>
        <v>0.16[0.08,0.24]</v>
      </c>
    </row>
    <row r="43" spans="1:18" x14ac:dyDescent="0.25">
      <c r="A43">
        <v>42</v>
      </c>
      <c r="B43" t="s">
        <v>55</v>
      </c>
      <c r="C43" t="s">
        <v>30</v>
      </c>
      <c r="D43">
        <v>12.430667581931299</v>
      </c>
      <c r="E43">
        <v>-22.1552992411441</v>
      </c>
      <c r="F43">
        <v>47.016634405006599</v>
      </c>
      <c r="G43">
        <v>1156.58029886913</v>
      </c>
      <c r="H43">
        <v>1250.31512351683</v>
      </c>
      <c r="I43" t="s">
        <v>103</v>
      </c>
      <c r="J43" t="s">
        <v>12</v>
      </c>
      <c r="K43" t="s">
        <v>13</v>
      </c>
      <c r="L43" t="str">
        <f t="shared" si="0"/>
        <v>12.43[-22.16,47.02]</v>
      </c>
    </row>
    <row r="44" spans="1:18" x14ac:dyDescent="0.25">
      <c r="A44">
        <v>43</v>
      </c>
      <c r="B44" t="s">
        <v>56</v>
      </c>
      <c r="C44" t="s">
        <v>31</v>
      </c>
      <c r="D44">
        <v>15.313019832527001</v>
      </c>
      <c r="E44">
        <v>-29.0336776327986</v>
      </c>
      <c r="F44">
        <v>59.659717297852701</v>
      </c>
      <c r="G44">
        <v>1156.58029886913</v>
      </c>
      <c r="H44">
        <v>1250.31512351683</v>
      </c>
      <c r="I44" t="s">
        <v>103</v>
      </c>
      <c r="J44" t="s">
        <v>12</v>
      </c>
      <c r="K44" t="s">
        <v>13</v>
      </c>
      <c r="L44" t="str">
        <f t="shared" si="0"/>
        <v>15.31[-29.03,59.66]</v>
      </c>
    </row>
    <row r="45" spans="1:18" x14ac:dyDescent="0.25">
      <c r="A45">
        <v>44</v>
      </c>
      <c r="B45" t="s">
        <v>57</v>
      </c>
      <c r="C45" t="s">
        <v>32</v>
      </c>
      <c r="D45">
        <v>9.2208931830123395E-2</v>
      </c>
      <c r="E45">
        <v>3.4922464725863203E-2</v>
      </c>
      <c r="F45">
        <v>0.14949539893438399</v>
      </c>
      <c r="G45">
        <v>1156.58029886913</v>
      </c>
      <c r="H45">
        <v>1250.31512351683</v>
      </c>
      <c r="I45" t="s">
        <v>103</v>
      </c>
      <c r="J45" t="s">
        <v>12</v>
      </c>
      <c r="K45" t="s">
        <v>13</v>
      </c>
      <c r="L45" t="str">
        <f t="shared" si="0"/>
        <v>0.09[0.03,0.15]</v>
      </c>
    </row>
    <row r="46" spans="1:18" x14ac:dyDescent="0.25">
      <c r="A46">
        <v>45</v>
      </c>
      <c r="B46" t="s">
        <v>58</v>
      </c>
      <c r="C46" t="s">
        <v>33</v>
      </c>
      <c r="D46">
        <v>-1.51446299759682</v>
      </c>
      <c r="E46">
        <v>-2.4047408380380402</v>
      </c>
      <c r="F46">
        <v>-0.62418515715560696</v>
      </c>
      <c r="G46">
        <v>1156.58029886913</v>
      </c>
      <c r="H46">
        <v>1250.31512351683</v>
      </c>
      <c r="I46" t="s">
        <v>103</v>
      </c>
      <c r="J46" t="s">
        <v>12</v>
      </c>
      <c r="K46" t="s">
        <v>13</v>
      </c>
      <c r="L46" t="str">
        <f t="shared" si="0"/>
        <v>-1.51[-2.40,-0.62]</v>
      </c>
    </row>
    <row r="47" spans="1:18" x14ac:dyDescent="0.25">
      <c r="A47">
        <v>46</v>
      </c>
      <c r="B47" t="s">
        <v>59</v>
      </c>
      <c r="C47" t="s">
        <v>34</v>
      </c>
      <c r="D47">
        <v>0.55049375448376703</v>
      </c>
      <c r="E47">
        <v>-0.10976802006104</v>
      </c>
      <c r="F47">
        <v>1.2107555290285701</v>
      </c>
      <c r="G47">
        <v>1156.58029886913</v>
      </c>
      <c r="H47">
        <v>1250.31512351683</v>
      </c>
      <c r="I47" t="s">
        <v>103</v>
      </c>
      <c r="J47" t="s">
        <v>12</v>
      </c>
      <c r="K47" t="s">
        <v>13</v>
      </c>
      <c r="L47" t="str">
        <f t="shared" si="0"/>
        <v>0.55[-0.11,1.21]</v>
      </c>
    </row>
    <row r="48" spans="1:18" x14ac:dyDescent="0.25">
      <c r="A48">
        <v>47</v>
      </c>
      <c r="B48" t="s">
        <v>60</v>
      </c>
      <c r="C48" t="s">
        <v>35</v>
      </c>
      <c r="D48">
        <v>3.4737487446589797E-2</v>
      </c>
      <c r="E48">
        <v>-1.9526763620434599E-2</v>
      </c>
      <c r="F48">
        <v>8.9001738513614301E-2</v>
      </c>
      <c r="G48">
        <v>1156.58029886913</v>
      </c>
      <c r="H48">
        <v>1250.31512351683</v>
      </c>
      <c r="I48" t="s">
        <v>103</v>
      </c>
      <c r="J48" t="s">
        <v>12</v>
      </c>
      <c r="K48" t="s">
        <v>13</v>
      </c>
      <c r="L48" t="str">
        <f t="shared" si="0"/>
        <v>0.03[-0.02,0.09]</v>
      </c>
    </row>
    <row r="49" spans="1:12" x14ac:dyDescent="0.25">
      <c r="A49">
        <v>48</v>
      </c>
      <c r="B49" t="s">
        <v>61</v>
      </c>
      <c r="C49" t="s">
        <v>36</v>
      </c>
      <c r="D49">
        <v>5.6855519673391398E-2</v>
      </c>
      <c r="E49">
        <v>2.1815561614365001E-2</v>
      </c>
      <c r="F49">
        <v>9.1895477732417893E-2</v>
      </c>
      <c r="G49">
        <v>1156.58029886913</v>
      </c>
      <c r="H49">
        <v>1250.31512351683</v>
      </c>
      <c r="I49" t="s">
        <v>103</v>
      </c>
      <c r="J49" t="s">
        <v>12</v>
      </c>
      <c r="K49" t="s">
        <v>13</v>
      </c>
      <c r="L49" t="str">
        <f t="shared" si="0"/>
        <v>0.06[0.02,0.09]</v>
      </c>
    </row>
    <row r="50" spans="1:12" x14ac:dyDescent="0.25">
      <c r="A50">
        <v>49</v>
      </c>
      <c r="B50">
        <v>1</v>
      </c>
      <c r="C50" t="s">
        <v>10</v>
      </c>
      <c r="D50">
        <v>3.7128117817969901</v>
      </c>
      <c r="E50">
        <v>-2.45570265131308</v>
      </c>
      <c r="F50">
        <v>9.8813262149070695</v>
      </c>
      <c r="G50">
        <v>325.08996534204698</v>
      </c>
      <c r="H50">
        <v>422.57418297566102</v>
      </c>
      <c r="I50" t="s">
        <v>102</v>
      </c>
      <c r="J50" t="s">
        <v>12</v>
      </c>
      <c r="K50" t="s">
        <v>87</v>
      </c>
      <c r="L50" t="str">
        <f t="shared" si="0"/>
        <v>3.71[-2.46,9.88]</v>
      </c>
    </row>
    <row r="51" spans="1:12" x14ac:dyDescent="0.25">
      <c r="A51">
        <v>50</v>
      </c>
      <c r="B51">
        <v>2</v>
      </c>
      <c r="C51" t="s">
        <v>14</v>
      </c>
      <c r="D51" s="10">
        <v>8.7309506165419407E-5</v>
      </c>
      <c r="E51" s="10">
        <v>5.1214502488244198E-5</v>
      </c>
      <c r="F51">
        <v>1.2340450984258999E-4</v>
      </c>
      <c r="G51">
        <v>325.08996534204698</v>
      </c>
      <c r="H51">
        <v>422.57418297566102</v>
      </c>
      <c r="I51" t="s">
        <v>102</v>
      </c>
      <c r="J51" t="s">
        <v>12</v>
      </c>
      <c r="K51" t="s">
        <v>87</v>
      </c>
      <c r="L51" t="str">
        <f t="shared" si="0"/>
        <v>0.00[0.00,0.00]</v>
      </c>
    </row>
    <row r="52" spans="1:12" x14ac:dyDescent="0.25">
      <c r="A52">
        <v>51</v>
      </c>
      <c r="B52">
        <v>3</v>
      </c>
      <c r="C52" t="s">
        <v>15</v>
      </c>
      <c r="D52">
        <v>-4.6628250826542299</v>
      </c>
      <c r="E52">
        <v>-10.721227889913701</v>
      </c>
      <c r="F52">
        <v>1.3955777246052901</v>
      </c>
      <c r="G52">
        <v>325.08996534204698</v>
      </c>
      <c r="H52">
        <v>422.57418297566102</v>
      </c>
      <c r="I52" t="s">
        <v>102</v>
      </c>
      <c r="J52" t="s">
        <v>12</v>
      </c>
      <c r="K52" t="s">
        <v>87</v>
      </c>
      <c r="L52" t="str">
        <f t="shared" si="0"/>
        <v>-4.66[-10.72,1.40]</v>
      </c>
    </row>
    <row r="53" spans="1:12" x14ac:dyDescent="0.25">
      <c r="A53">
        <v>52</v>
      </c>
      <c r="B53">
        <v>4</v>
      </c>
      <c r="C53" t="s">
        <v>16</v>
      </c>
      <c r="D53">
        <v>1.5924744435251E-2</v>
      </c>
      <c r="E53">
        <v>-6.3497650734949902</v>
      </c>
      <c r="F53">
        <v>6.3816145623654901</v>
      </c>
      <c r="G53">
        <v>325.08996534204698</v>
      </c>
      <c r="H53">
        <v>422.57418297566102</v>
      </c>
      <c r="I53" t="s">
        <v>102</v>
      </c>
      <c r="J53" t="s">
        <v>12</v>
      </c>
      <c r="K53" t="s">
        <v>87</v>
      </c>
      <c r="L53" t="str">
        <f t="shared" si="0"/>
        <v>0.02[-6.35,6.38]</v>
      </c>
    </row>
    <row r="54" spans="1:12" x14ac:dyDescent="0.25">
      <c r="A54">
        <v>53</v>
      </c>
      <c r="B54">
        <v>5</v>
      </c>
      <c r="C54" t="s">
        <v>17</v>
      </c>
      <c r="D54">
        <v>3.5252111436545999</v>
      </c>
      <c r="E54">
        <v>2.0073902544565998</v>
      </c>
      <c r="F54">
        <v>5.0430320328525902</v>
      </c>
      <c r="G54">
        <v>325.08996534204698</v>
      </c>
      <c r="H54">
        <v>422.57418297566102</v>
      </c>
      <c r="I54" t="s">
        <v>102</v>
      </c>
      <c r="J54" t="s">
        <v>12</v>
      </c>
      <c r="K54" t="s">
        <v>87</v>
      </c>
      <c r="L54" t="str">
        <f t="shared" si="0"/>
        <v>3.53[2.01,5.04]</v>
      </c>
    </row>
    <row r="55" spans="1:12" x14ac:dyDescent="0.25">
      <c r="A55">
        <v>54</v>
      </c>
      <c r="B55">
        <v>6</v>
      </c>
      <c r="C55" t="s">
        <v>18</v>
      </c>
      <c r="D55">
        <v>0.53044835570744597</v>
      </c>
      <c r="E55">
        <v>-4.4346688817188697</v>
      </c>
      <c r="F55">
        <v>5.4955655931337697</v>
      </c>
      <c r="G55">
        <v>325.08996534204698</v>
      </c>
      <c r="H55">
        <v>422.57418297566102</v>
      </c>
      <c r="I55" t="s">
        <v>102</v>
      </c>
      <c r="J55" t="s">
        <v>12</v>
      </c>
      <c r="K55" t="s">
        <v>87</v>
      </c>
      <c r="L55" t="str">
        <f t="shared" si="0"/>
        <v>0.53[-4.43,5.50]</v>
      </c>
    </row>
    <row r="56" spans="1:12" x14ac:dyDescent="0.25">
      <c r="A56">
        <v>55</v>
      </c>
      <c r="B56">
        <v>7</v>
      </c>
      <c r="C56" t="s">
        <v>19</v>
      </c>
      <c r="D56">
        <v>1.9808962091746301</v>
      </c>
      <c r="E56">
        <v>1.2275051747558099</v>
      </c>
      <c r="F56">
        <v>2.7342872435934602</v>
      </c>
      <c r="G56">
        <v>325.08996534204698</v>
      </c>
      <c r="H56">
        <v>422.57418297566102</v>
      </c>
      <c r="I56" t="s">
        <v>102</v>
      </c>
      <c r="J56" t="s">
        <v>12</v>
      </c>
      <c r="K56" t="s">
        <v>87</v>
      </c>
      <c r="L56" t="str">
        <f t="shared" si="0"/>
        <v>1.98[1.23,2.73]</v>
      </c>
    </row>
    <row r="57" spans="1:12" x14ac:dyDescent="0.25">
      <c r="A57">
        <v>56</v>
      </c>
      <c r="B57">
        <v>8</v>
      </c>
      <c r="C57" t="s">
        <v>20</v>
      </c>
      <c r="D57">
        <v>-0.41536937278959102</v>
      </c>
      <c r="E57">
        <v>-2.47950164439025</v>
      </c>
      <c r="F57">
        <v>1.6487628988110701</v>
      </c>
      <c r="G57">
        <v>325.08996534204698</v>
      </c>
      <c r="H57">
        <v>422.57418297566102</v>
      </c>
      <c r="I57" t="s">
        <v>102</v>
      </c>
      <c r="J57" t="s">
        <v>12</v>
      </c>
      <c r="K57" t="s">
        <v>87</v>
      </c>
      <c r="L57" t="str">
        <f t="shared" si="0"/>
        <v>-0.42[-2.48,1.65]</v>
      </c>
    </row>
    <row r="58" spans="1:12" x14ac:dyDescent="0.25">
      <c r="A58">
        <v>57</v>
      </c>
      <c r="B58">
        <v>9</v>
      </c>
      <c r="C58" t="s">
        <v>21</v>
      </c>
      <c r="D58">
        <v>1.22151828597219</v>
      </c>
      <c r="E58">
        <v>-2.7201237471708102</v>
      </c>
      <c r="F58">
        <v>5.1631603191151898</v>
      </c>
      <c r="G58">
        <v>325.08996534204698</v>
      </c>
      <c r="H58">
        <v>422.57418297566102</v>
      </c>
      <c r="I58" t="s">
        <v>102</v>
      </c>
      <c r="J58" t="s">
        <v>12</v>
      </c>
      <c r="K58" t="s">
        <v>87</v>
      </c>
      <c r="L58" t="str">
        <f t="shared" si="0"/>
        <v>1.22[-2.72,5.16]</v>
      </c>
    </row>
    <row r="59" spans="1:12" x14ac:dyDescent="0.25">
      <c r="A59">
        <v>58</v>
      </c>
      <c r="B59">
        <v>10</v>
      </c>
      <c r="C59" t="s">
        <v>22</v>
      </c>
      <c r="D59">
        <v>1.89699815675759E-2</v>
      </c>
      <c r="E59">
        <v>-1.8990306621223502E-2</v>
      </c>
      <c r="F59">
        <v>5.6930269756375301E-2</v>
      </c>
      <c r="G59">
        <v>325.08996534204698</v>
      </c>
      <c r="H59">
        <v>422.57418297566102</v>
      </c>
      <c r="I59" t="s">
        <v>102</v>
      </c>
      <c r="J59" t="s">
        <v>12</v>
      </c>
      <c r="K59" t="s">
        <v>87</v>
      </c>
      <c r="L59" t="str">
        <f t="shared" si="0"/>
        <v>0.02[-0.02,0.06]</v>
      </c>
    </row>
    <row r="60" spans="1:12" x14ac:dyDescent="0.25">
      <c r="A60">
        <v>59</v>
      </c>
      <c r="B60">
        <v>11</v>
      </c>
      <c r="C60" t="s">
        <v>23</v>
      </c>
      <c r="D60">
        <v>-4.3217691349032901</v>
      </c>
      <c r="E60">
        <v>-8.3447912622616904</v>
      </c>
      <c r="F60">
        <v>-0.29874700754488998</v>
      </c>
      <c r="G60">
        <v>325.08996534204698</v>
      </c>
      <c r="H60">
        <v>422.57418297566102</v>
      </c>
      <c r="I60" t="s">
        <v>102</v>
      </c>
      <c r="J60" t="s">
        <v>12</v>
      </c>
      <c r="K60" t="s">
        <v>87</v>
      </c>
      <c r="L60" t="str">
        <f t="shared" si="0"/>
        <v>-4.32[-8.34,-0.30]</v>
      </c>
    </row>
    <row r="61" spans="1:12" x14ac:dyDescent="0.25">
      <c r="A61">
        <v>60</v>
      </c>
      <c r="B61">
        <v>12</v>
      </c>
      <c r="C61" t="s">
        <v>24</v>
      </c>
      <c r="D61">
        <v>8.0078127549360492</v>
      </c>
      <c r="E61">
        <v>4.1413801882700501</v>
      </c>
      <c r="F61">
        <v>11.874245321602</v>
      </c>
      <c r="G61">
        <v>325.08996534204698</v>
      </c>
      <c r="H61">
        <v>422.57418297566102</v>
      </c>
      <c r="I61" t="s">
        <v>102</v>
      </c>
      <c r="J61" t="s">
        <v>12</v>
      </c>
      <c r="K61" t="s">
        <v>87</v>
      </c>
      <c r="L61" t="str">
        <f t="shared" si="0"/>
        <v>8.01[4.14,11.87]</v>
      </c>
    </row>
    <row r="62" spans="1:12" x14ac:dyDescent="0.25">
      <c r="A62">
        <v>61</v>
      </c>
      <c r="B62">
        <v>13</v>
      </c>
      <c r="C62" t="s">
        <v>25</v>
      </c>
      <c r="D62" s="10">
        <v>-9.7106878425529505E-6</v>
      </c>
      <c r="E62" s="10">
        <v>-2.7751533967653201E-5</v>
      </c>
      <c r="F62" s="10">
        <v>8.33015828254732E-6</v>
      </c>
      <c r="G62">
        <v>325.08996534204698</v>
      </c>
      <c r="H62">
        <v>422.57418297566102</v>
      </c>
      <c r="I62" t="s">
        <v>102</v>
      </c>
      <c r="J62" t="s">
        <v>12</v>
      </c>
      <c r="K62" t="s">
        <v>87</v>
      </c>
      <c r="L62" t="str">
        <f t="shared" si="0"/>
        <v>0.00[0.00,0.00]</v>
      </c>
    </row>
    <row r="63" spans="1:12" x14ac:dyDescent="0.25">
      <c r="A63">
        <v>62</v>
      </c>
      <c r="B63">
        <v>14</v>
      </c>
      <c r="C63" t="s">
        <v>26</v>
      </c>
      <c r="D63">
        <v>1.8543659745013099E-3</v>
      </c>
      <c r="E63">
        <v>-3.18110150270026E-2</v>
      </c>
      <c r="F63">
        <v>3.5519746976005198E-2</v>
      </c>
      <c r="G63">
        <v>325.08996534204698</v>
      </c>
      <c r="H63">
        <v>422.57418297566102</v>
      </c>
      <c r="I63" t="s">
        <v>102</v>
      </c>
      <c r="J63" t="s">
        <v>12</v>
      </c>
      <c r="K63" t="s">
        <v>87</v>
      </c>
      <c r="L63" t="str">
        <f t="shared" si="0"/>
        <v>0.00[-0.03,0.04]</v>
      </c>
    </row>
    <row r="64" spans="1:12" x14ac:dyDescent="0.25">
      <c r="A64">
        <v>63</v>
      </c>
      <c r="B64">
        <v>15</v>
      </c>
      <c r="C64" t="s">
        <v>27</v>
      </c>
      <c r="D64">
        <v>2.52117785912188E-2</v>
      </c>
      <c r="E64">
        <v>1.54699968674075E-2</v>
      </c>
      <c r="F64">
        <v>3.4953560315029997E-2</v>
      </c>
      <c r="G64">
        <v>325.08996534204698</v>
      </c>
      <c r="H64">
        <v>422.57418297566102</v>
      </c>
      <c r="I64" t="s">
        <v>102</v>
      </c>
      <c r="J64" t="s">
        <v>12</v>
      </c>
      <c r="K64" t="s">
        <v>87</v>
      </c>
      <c r="L64" t="str">
        <f t="shared" si="0"/>
        <v>0.03[0.02,0.03]</v>
      </c>
    </row>
    <row r="65" spans="1:12" x14ac:dyDescent="0.25">
      <c r="A65">
        <v>64</v>
      </c>
      <c r="B65">
        <v>16</v>
      </c>
      <c r="C65" t="s">
        <v>28</v>
      </c>
      <c r="D65">
        <v>5.6536111213943497E-3</v>
      </c>
      <c r="E65">
        <v>-9.5206031520176301E-3</v>
      </c>
      <c r="F65">
        <v>2.08278253948063E-2</v>
      </c>
      <c r="G65">
        <v>325.08996534204698</v>
      </c>
      <c r="H65">
        <v>422.57418297566102</v>
      </c>
      <c r="I65" t="s">
        <v>102</v>
      </c>
      <c r="J65" t="s">
        <v>12</v>
      </c>
      <c r="K65" t="s">
        <v>87</v>
      </c>
      <c r="L65" t="str">
        <f t="shared" si="0"/>
        <v>0.01[-0.01,0.02]</v>
      </c>
    </row>
    <row r="66" spans="1:12" x14ac:dyDescent="0.25">
      <c r="A66">
        <v>65</v>
      </c>
      <c r="B66">
        <v>17</v>
      </c>
      <c r="C66" t="s">
        <v>29</v>
      </c>
      <c r="D66">
        <v>-1.62665619735446E-3</v>
      </c>
      <c r="E66">
        <v>-2.0528619086954001E-2</v>
      </c>
      <c r="F66">
        <v>1.7275306692245099E-2</v>
      </c>
      <c r="G66">
        <v>325.08996534204698</v>
      </c>
      <c r="H66">
        <v>422.57418297566102</v>
      </c>
      <c r="I66" t="s">
        <v>102</v>
      </c>
      <c r="J66" t="s">
        <v>12</v>
      </c>
      <c r="K66" t="s">
        <v>87</v>
      </c>
      <c r="L66" t="str">
        <f t="shared" si="0"/>
        <v>0.00[-0.02,0.02]</v>
      </c>
    </row>
    <row r="67" spans="1:12" x14ac:dyDescent="0.25">
      <c r="A67">
        <v>66</v>
      </c>
      <c r="B67">
        <v>18</v>
      </c>
      <c r="C67" t="s">
        <v>30</v>
      </c>
      <c r="D67">
        <v>4.6454679075924501</v>
      </c>
      <c r="E67">
        <v>-3.2072582254586801</v>
      </c>
      <c r="F67">
        <v>12.4981940406436</v>
      </c>
      <c r="G67">
        <v>325.08996534204698</v>
      </c>
      <c r="H67">
        <v>422.57418297566102</v>
      </c>
      <c r="I67" t="s">
        <v>102</v>
      </c>
      <c r="J67" t="s">
        <v>12</v>
      </c>
      <c r="K67" t="s">
        <v>87</v>
      </c>
      <c r="L67" t="str">
        <f t="shared" ref="L67:L130" si="1">TEXT(ROUND(D67,2),"0.00") &amp; "[" &amp; TEXT(ROUND(E67,2),"0.00") &amp; "," &amp; TEXT(ROUND(F67,2),"0.00") &amp; "]"</f>
        <v>4.65[-3.21,12.50]</v>
      </c>
    </row>
    <row r="68" spans="1:12" x14ac:dyDescent="0.25">
      <c r="A68">
        <v>67</v>
      </c>
      <c r="B68">
        <v>19</v>
      </c>
      <c r="C68" t="s">
        <v>31</v>
      </c>
      <c r="D68">
        <v>-4.6824947239567498</v>
      </c>
      <c r="E68">
        <v>-14.6996958732393</v>
      </c>
      <c r="F68">
        <v>5.3347064253258001</v>
      </c>
      <c r="G68">
        <v>325.08996534204698</v>
      </c>
      <c r="H68">
        <v>422.57418297566102</v>
      </c>
      <c r="I68" t="s">
        <v>102</v>
      </c>
      <c r="J68" t="s">
        <v>12</v>
      </c>
      <c r="K68" t="s">
        <v>87</v>
      </c>
      <c r="L68" t="str">
        <f t="shared" si="1"/>
        <v>-4.68[-14.70,5.33]</v>
      </c>
    </row>
    <row r="69" spans="1:12" x14ac:dyDescent="0.25">
      <c r="A69">
        <v>68</v>
      </c>
      <c r="B69">
        <v>20</v>
      </c>
      <c r="C69" t="s">
        <v>32</v>
      </c>
      <c r="D69">
        <v>5.3260683708719302E-3</v>
      </c>
      <c r="E69">
        <v>-8.0250569763309094E-3</v>
      </c>
      <c r="F69">
        <v>1.8677193718074799E-2</v>
      </c>
      <c r="G69">
        <v>325.08996534204698</v>
      </c>
      <c r="H69">
        <v>422.57418297566102</v>
      </c>
      <c r="I69" t="s">
        <v>102</v>
      </c>
      <c r="J69" t="s">
        <v>12</v>
      </c>
      <c r="K69" t="s">
        <v>87</v>
      </c>
      <c r="L69" t="str">
        <f t="shared" si="1"/>
        <v>0.01[-0.01,0.02]</v>
      </c>
    </row>
    <row r="70" spans="1:12" x14ac:dyDescent="0.25">
      <c r="A70">
        <v>69</v>
      </c>
      <c r="B70">
        <v>21</v>
      </c>
      <c r="C70" t="s">
        <v>33</v>
      </c>
      <c r="D70">
        <v>0.109328483031048</v>
      </c>
      <c r="E70">
        <v>-9.57585755643513E-2</v>
      </c>
      <c r="F70">
        <v>0.31441554162644803</v>
      </c>
      <c r="G70">
        <v>325.08996534204698</v>
      </c>
      <c r="H70">
        <v>422.57418297566102</v>
      </c>
      <c r="I70" t="s">
        <v>102</v>
      </c>
      <c r="J70" t="s">
        <v>12</v>
      </c>
      <c r="K70" t="s">
        <v>87</v>
      </c>
      <c r="L70" t="str">
        <f t="shared" si="1"/>
        <v>0.11[-0.10,0.31]</v>
      </c>
    </row>
    <row r="71" spans="1:12" x14ac:dyDescent="0.25">
      <c r="A71">
        <v>70</v>
      </c>
      <c r="B71">
        <v>22</v>
      </c>
      <c r="C71" t="s">
        <v>34</v>
      </c>
      <c r="D71">
        <v>-6.0792775134925403E-3</v>
      </c>
      <c r="E71">
        <v>-0.15864775180320101</v>
      </c>
      <c r="F71">
        <v>0.146489196776216</v>
      </c>
      <c r="G71">
        <v>325.08996534204698</v>
      </c>
      <c r="H71">
        <v>422.57418297566102</v>
      </c>
      <c r="I71" t="s">
        <v>102</v>
      </c>
      <c r="J71" t="s">
        <v>12</v>
      </c>
      <c r="K71" t="s">
        <v>87</v>
      </c>
      <c r="L71" t="str">
        <f t="shared" si="1"/>
        <v>-0.01[-0.16,0.15]</v>
      </c>
    </row>
    <row r="72" spans="1:12" x14ac:dyDescent="0.25">
      <c r="A72">
        <v>71</v>
      </c>
      <c r="B72">
        <v>23</v>
      </c>
      <c r="C72" t="s">
        <v>35</v>
      </c>
      <c r="D72">
        <v>3.7400873450478501E-3</v>
      </c>
      <c r="E72">
        <v>-8.7972748846156402E-3</v>
      </c>
      <c r="F72">
        <v>1.6277449574711399E-2</v>
      </c>
      <c r="G72">
        <v>325.08996534204698</v>
      </c>
      <c r="H72">
        <v>422.57418297566102</v>
      </c>
      <c r="I72" t="s">
        <v>102</v>
      </c>
      <c r="J72" t="s">
        <v>12</v>
      </c>
      <c r="K72" t="s">
        <v>87</v>
      </c>
      <c r="L72" t="str">
        <f t="shared" si="1"/>
        <v>0.00[-0.01,0.02]</v>
      </c>
    </row>
    <row r="73" spans="1:12" x14ac:dyDescent="0.25">
      <c r="A73">
        <v>72</v>
      </c>
      <c r="B73">
        <v>24</v>
      </c>
      <c r="C73" t="s">
        <v>36</v>
      </c>
      <c r="D73">
        <v>7.7746586929739502E-3</v>
      </c>
      <c r="E73">
        <v>-5.1840275635356003E-4</v>
      </c>
      <c r="F73">
        <v>1.6067720142301501E-2</v>
      </c>
      <c r="G73">
        <v>325.08996534204698</v>
      </c>
      <c r="H73">
        <v>422.57418297566102</v>
      </c>
      <c r="I73" t="s">
        <v>102</v>
      </c>
      <c r="J73" t="s">
        <v>12</v>
      </c>
      <c r="K73" t="s">
        <v>87</v>
      </c>
      <c r="L73" t="str">
        <f t="shared" si="1"/>
        <v>0.01[0.00,0.02]</v>
      </c>
    </row>
    <row r="74" spans="1:12" x14ac:dyDescent="0.25">
      <c r="A74">
        <v>73</v>
      </c>
      <c r="B74">
        <v>25</v>
      </c>
      <c r="C74" t="s">
        <v>10</v>
      </c>
      <c r="D74">
        <v>-15.859078594396999</v>
      </c>
      <c r="E74">
        <v>-42.773445016659402</v>
      </c>
      <c r="F74">
        <v>11.055287827865399</v>
      </c>
      <c r="G74">
        <v>1178.90551105805</v>
      </c>
      <c r="H74">
        <v>1276.3897286916599</v>
      </c>
      <c r="I74" t="s">
        <v>103</v>
      </c>
      <c r="J74" t="s">
        <v>12</v>
      </c>
      <c r="K74" t="s">
        <v>87</v>
      </c>
      <c r="L74" t="str">
        <f t="shared" si="1"/>
        <v>-15.86[-42.77,11.06]</v>
      </c>
    </row>
    <row r="75" spans="1:12" x14ac:dyDescent="0.25">
      <c r="A75">
        <v>74</v>
      </c>
      <c r="B75">
        <v>26</v>
      </c>
      <c r="C75" t="s">
        <v>14</v>
      </c>
      <c r="D75">
        <v>-3.0460194805596001E-4</v>
      </c>
      <c r="E75">
        <v>-4.6277695776745999E-4</v>
      </c>
      <c r="F75">
        <v>-1.4642693834445E-4</v>
      </c>
      <c r="G75">
        <v>1178.90551105805</v>
      </c>
      <c r="H75">
        <v>1276.3897286916599</v>
      </c>
      <c r="I75" t="s">
        <v>103</v>
      </c>
      <c r="J75" t="s">
        <v>12</v>
      </c>
      <c r="K75" t="s">
        <v>87</v>
      </c>
      <c r="L75" t="str">
        <f t="shared" si="1"/>
        <v>0.00[0.00,0.00]</v>
      </c>
    </row>
    <row r="76" spans="1:12" x14ac:dyDescent="0.25">
      <c r="A76">
        <v>75</v>
      </c>
      <c r="B76">
        <v>27</v>
      </c>
      <c r="C76" t="s">
        <v>15</v>
      </c>
      <c r="D76">
        <v>32.380305515140897</v>
      </c>
      <c r="E76">
        <v>5.9604618260203797</v>
      </c>
      <c r="F76">
        <v>58.800149204261402</v>
      </c>
      <c r="G76">
        <v>1178.90551105805</v>
      </c>
      <c r="H76">
        <v>1276.3897286916599</v>
      </c>
      <c r="I76" t="s">
        <v>103</v>
      </c>
      <c r="J76" t="s">
        <v>12</v>
      </c>
      <c r="K76" t="s">
        <v>87</v>
      </c>
      <c r="L76" t="str">
        <f t="shared" si="1"/>
        <v>32.38[5.96,58.80]</v>
      </c>
    </row>
    <row r="77" spans="1:12" x14ac:dyDescent="0.25">
      <c r="A77">
        <v>76</v>
      </c>
      <c r="B77">
        <v>28</v>
      </c>
      <c r="C77" t="s">
        <v>16</v>
      </c>
      <c r="D77">
        <v>34.031541863042897</v>
      </c>
      <c r="E77">
        <v>6.1326589166317804</v>
      </c>
      <c r="F77">
        <v>61.930424809453903</v>
      </c>
      <c r="G77">
        <v>1178.90551105805</v>
      </c>
      <c r="H77">
        <v>1276.3897286916599</v>
      </c>
      <c r="I77" t="s">
        <v>103</v>
      </c>
      <c r="J77" t="s">
        <v>12</v>
      </c>
      <c r="K77" t="s">
        <v>87</v>
      </c>
      <c r="L77" t="str">
        <f t="shared" si="1"/>
        <v>34.03[6.13,61.93]</v>
      </c>
    </row>
    <row r="78" spans="1:12" x14ac:dyDescent="0.25">
      <c r="A78">
        <v>77</v>
      </c>
      <c r="B78">
        <v>29</v>
      </c>
      <c r="C78" t="s">
        <v>17</v>
      </c>
      <c r="D78">
        <v>7.0634470874850201</v>
      </c>
      <c r="E78">
        <v>0.44973607655520897</v>
      </c>
      <c r="F78">
        <v>13.6771580984148</v>
      </c>
      <c r="G78">
        <v>1178.90551105805</v>
      </c>
      <c r="H78">
        <v>1276.3897286916599</v>
      </c>
      <c r="I78" t="s">
        <v>103</v>
      </c>
      <c r="J78" t="s">
        <v>12</v>
      </c>
      <c r="K78" t="s">
        <v>87</v>
      </c>
      <c r="L78" t="str">
        <f t="shared" si="1"/>
        <v>7.06[0.45,13.68]</v>
      </c>
    </row>
    <row r="79" spans="1:12" x14ac:dyDescent="0.25">
      <c r="A79">
        <v>78</v>
      </c>
      <c r="B79">
        <v>30</v>
      </c>
      <c r="C79" t="s">
        <v>18</v>
      </c>
      <c r="D79">
        <v>-3.7414907958729899</v>
      </c>
      <c r="E79">
        <v>-25.285541376798399</v>
      </c>
      <c r="F79">
        <v>17.802559785052399</v>
      </c>
      <c r="G79">
        <v>1178.90551105805</v>
      </c>
      <c r="H79">
        <v>1276.3897286916599</v>
      </c>
      <c r="I79" t="s">
        <v>103</v>
      </c>
      <c r="J79" t="s">
        <v>12</v>
      </c>
      <c r="K79" t="s">
        <v>87</v>
      </c>
      <c r="L79" t="str">
        <f t="shared" si="1"/>
        <v>-3.74[-25.29,17.80]</v>
      </c>
    </row>
    <row r="80" spans="1:12" x14ac:dyDescent="0.25">
      <c r="A80">
        <v>79</v>
      </c>
      <c r="B80">
        <v>31</v>
      </c>
      <c r="C80" t="s">
        <v>19</v>
      </c>
      <c r="D80">
        <v>22.287326665379801</v>
      </c>
      <c r="E80">
        <v>19.010841083483299</v>
      </c>
      <c r="F80">
        <v>25.563812247276399</v>
      </c>
      <c r="G80">
        <v>1178.90551105805</v>
      </c>
      <c r="H80">
        <v>1276.3897286916599</v>
      </c>
      <c r="I80" t="s">
        <v>103</v>
      </c>
      <c r="J80" t="s">
        <v>12</v>
      </c>
      <c r="K80" t="s">
        <v>87</v>
      </c>
      <c r="L80" t="str">
        <f t="shared" si="1"/>
        <v>22.29[19.01,25.56]</v>
      </c>
    </row>
    <row r="81" spans="1:12" x14ac:dyDescent="0.25">
      <c r="A81">
        <v>80</v>
      </c>
      <c r="B81">
        <v>32</v>
      </c>
      <c r="C81" t="s">
        <v>20</v>
      </c>
      <c r="D81">
        <v>23.404632415560101</v>
      </c>
      <c r="E81">
        <v>14.401092439929</v>
      </c>
      <c r="F81">
        <v>32.408172391191201</v>
      </c>
      <c r="G81">
        <v>1178.90551105805</v>
      </c>
      <c r="H81">
        <v>1276.3897286916599</v>
      </c>
      <c r="I81" t="s">
        <v>103</v>
      </c>
      <c r="J81" t="s">
        <v>12</v>
      </c>
      <c r="K81" t="s">
        <v>87</v>
      </c>
      <c r="L81" t="str">
        <f t="shared" si="1"/>
        <v>23.40[14.40,32.41]</v>
      </c>
    </row>
    <row r="82" spans="1:12" x14ac:dyDescent="0.25">
      <c r="A82">
        <v>81</v>
      </c>
      <c r="B82">
        <v>33</v>
      </c>
      <c r="C82" t="s">
        <v>21</v>
      </c>
      <c r="D82">
        <v>7.5384953604277296</v>
      </c>
      <c r="E82">
        <v>-9.6517803821372805</v>
      </c>
      <c r="F82">
        <v>24.728771102992798</v>
      </c>
      <c r="G82">
        <v>1178.90551105805</v>
      </c>
      <c r="H82">
        <v>1276.3897286916599</v>
      </c>
      <c r="I82" t="s">
        <v>103</v>
      </c>
      <c r="J82" t="s">
        <v>12</v>
      </c>
      <c r="K82" t="s">
        <v>87</v>
      </c>
      <c r="L82" t="str">
        <f t="shared" si="1"/>
        <v>7.54[-9.65,24.73]</v>
      </c>
    </row>
    <row r="83" spans="1:12" x14ac:dyDescent="0.25">
      <c r="A83">
        <v>82</v>
      </c>
      <c r="B83">
        <v>34</v>
      </c>
      <c r="C83" t="s">
        <v>22</v>
      </c>
      <c r="D83">
        <v>-1.5499886570871301E-2</v>
      </c>
      <c r="E83">
        <v>-0.18080917693860299</v>
      </c>
      <c r="F83">
        <v>0.14980940379686</v>
      </c>
      <c r="G83">
        <v>1178.90551105805</v>
      </c>
      <c r="H83">
        <v>1276.3897286916599</v>
      </c>
      <c r="I83" t="s">
        <v>103</v>
      </c>
      <c r="J83" t="s">
        <v>12</v>
      </c>
      <c r="K83" t="s">
        <v>87</v>
      </c>
      <c r="L83" t="str">
        <f t="shared" si="1"/>
        <v>-0.02[-0.18,0.15]</v>
      </c>
    </row>
    <row r="84" spans="1:12" x14ac:dyDescent="0.25">
      <c r="A84">
        <v>83</v>
      </c>
      <c r="B84">
        <v>35</v>
      </c>
      <c r="C84" t="s">
        <v>23</v>
      </c>
      <c r="D84">
        <v>-38.582818904142101</v>
      </c>
      <c r="E84">
        <v>-56.206722814613002</v>
      </c>
      <c r="F84">
        <v>-20.9589149936712</v>
      </c>
      <c r="G84">
        <v>1178.90551105805</v>
      </c>
      <c r="H84">
        <v>1276.3897286916599</v>
      </c>
      <c r="I84" t="s">
        <v>103</v>
      </c>
      <c r="J84" t="s">
        <v>12</v>
      </c>
      <c r="K84" t="s">
        <v>87</v>
      </c>
      <c r="L84" t="str">
        <f t="shared" si="1"/>
        <v>-38.58[-56.21,-20.96]</v>
      </c>
    </row>
    <row r="85" spans="1:12" x14ac:dyDescent="0.25">
      <c r="A85">
        <v>84</v>
      </c>
      <c r="B85">
        <v>36</v>
      </c>
      <c r="C85" t="s">
        <v>24</v>
      </c>
      <c r="D85">
        <v>-1.4961140466862899</v>
      </c>
      <c r="E85">
        <v>-18.534938417968299</v>
      </c>
      <c r="F85">
        <v>15.542710324595699</v>
      </c>
      <c r="G85">
        <v>1178.90551105805</v>
      </c>
      <c r="H85">
        <v>1276.3897286916599</v>
      </c>
      <c r="I85" t="s">
        <v>103</v>
      </c>
      <c r="J85" t="s">
        <v>12</v>
      </c>
      <c r="K85" t="s">
        <v>87</v>
      </c>
      <c r="L85" t="str">
        <f t="shared" si="1"/>
        <v>-1.50[-18.53,15.54]</v>
      </c>
    </row>
    <row r="86" spans="1:12" x14ac:dyDescent="0.25">
      <c r="A86">
        <v>85</v>
      </c>
      <c r="B86">
        <v>37</v>
      </c>
      <c r="C86" t="s">
        <v>25</v>
      </c>
      <c r="D86" s="10">
        <v>-7.5515769897062306E-5</v>
      </c>
      <c r="E86">
        <v>-1.5453917817041999E-4</v>
      </c>
      <c r="F86" s="10">
        <v>3.5076383763019901E-6</v>
      </c>
      <c r="G86">
        <v>1178.90551105805</v>
      </c>
      <c r="H86">
        <v>1276.3897286916599</v>
      </c>
      <c r="I86" t="s">
        <v>103</v>
      </c>
      <c r="J86" t="s">
        <v>12</v>
      </c>
      <c r="K86" t="s">
        <v>87</v>
      </c>
      <c r="L86" t="str">
        <f t="shared" si="1"/>
        <v>0.00[0.00,0.00]</v>
      </c>
    </row>
    <row r="87" spans="1:12" x14ac:dyDescent="0.25">
      <c r="A87">
        <v>86</v>
      </c>
      <c r="B87">
        <v>38</v>
      </c>
      <c r="C87" t="s">
        <v>26</v>
      </c>
      <c r="D87">
        <v>-2.4221449952811999E-2</v>
      </c>
      <c r="E87">
        <v>-0.190538511256757</v>
      </c>
      <c r="F87">
        <v>0.14209561135113299</v>
      </c>
      <c r="G87">
        <v>1178.90551105805</v>
      </c>
      <c r="H87">
        <v>1276.3897286916599</v>
      </c>
      <c r="I87" t="s">
        <v>103</v>
      </c>
      <c r="J87" t="s">
        <v>12</v>
      </c>
      <c r="K87" t="s">
        <v>87</v>
      </c>
      <c r="L87" t="str">
        <f t="shared" si="1"/>
        <v>-0.02[-0.19,0.14]</v>
      </c>
    </row>
    <row r="88" spans="1:12" x14ac:dyDescent="0.25">
      <c r="A88">
        <v>87</v>
      </c>
      <c r="B88">
        <v>39</v>
      </c>
      <c r="C88" t="s">
        <v>27</v>
      </c>
      <c r="D88">
        <v>3.9487185892534901E-2</v>
      </c>
      <c r="E88">
        <v>-2.8987802152229099E-3</v>
      </c>
      <c r="F88">
        <v>8.1873152000292701E-2</v>
      </c>
      <c r="G88">
        <v>1178.90551105805</v>
      </c>
      <c r="H88">
        <v>1276.3897286916599</v>
      </c>
      <c r="I88" t="s">
        <v>103</v>
      </c>
      <c r="J88" t="s">
        <v>12</v>
      </c>
      <c r="K88" t="s">
        <v>87</v>
      </c>
      <c r="L88" t="str">
        <f t="shared" si="1"/>
        <v>0.04[0.00,0.08]</v>
      </c>
    </row>
    <row r="89" spans="1:12" x14ac:dyDescent="0.25">
      <c r="A89">
        <v>88</v>
      </c>
      <c r="B89">
        <v>40</v>
      </c>
      <c r="C89" t="s">
        <v>28</v>
      </c>
      <c r="D89">
        <v>3.6131723117331101E-2</v>
      </c>
      <c r="E89">
        <v>-2.9878395283970401E-2</v>
      </c>
      <c r="F89">
        <v>0.10214184151863299</v>
      </c>
      <c r="G89">
        <v>1178.90551105805</v>
      </c>
      <c r="H89">
        <v>1276.3897286916599</v>
      </c>
      <c r="I89" t="s">
        <v>103</v>
      </c>
      <c r="J89" t="s">
        <v>12</v>
      </c>
      <c r="K89" t="s">
        <v>87</v>
      </c>
      <c r="L89" t="str">
        <f t="shared" si="1"/>
        <v>0.04[-0.03,0.10]</v>
      </c>
    </row>
    <row r="90" spans="1:12" x14ac:dyDescent="0.25">
      <c r="A90">
        <v>89</v>
      </c>
      <c r="B90">
        <v>41</v>
      </c>
      <c r="C90" t="s">
        <v>29</v>
      </c>
      <c r="D90">
        <v>0.104429017424399</v>
      </c>
      <c r="E90">
        <v>2.0497782520020501E-2</v>
      </c>
      <c r="F90">
        <v>0.18836025232877701</v>
      </c>
      <c r="G90">
        <v>1178.90551105805</v>
      </c>
      <c r="H90">
        <v>1276.3897286916599</v>
      </c>
      <c r="I90" t="s">
        <v>103</v>
      </c>
      <c r="J90" t="s">
        <v>12</v>
      </c>
      <c r="K90" t="s">
        <v>87</v>
      </c>
      <c r="L90" t="str">
        <f t="shared" si="1"/>
        <v>0.10[0.02,0.19]</v>
      </c>
    </row>
    <row r="91" spans="1:12" x14ac:dyDescent="0.25">
      <c r="A91">
        <v>90</v>
      </c>
      <c r="B91">
        <v>42</v>
      </c>
      <c r="C91" t="s">
        <v>30</v>
      </c>
      <c r="D91">
        <v>22.380940352415301</v>
      </c>
      <c r="E91">
        <v>-11.7987854752273</v>
      </c>
      <c r="F91">
        <v>56.560666180057801</v>
      </c>
      <c r="G91">
        <v>1178.90551105805</v>
      </c>
      <c r="H91">
        <v>1276.3897286916599</v>
      </c>
      <c r="I91" t="s">
        <v>103</v>
      </c>
      <c r="J91" t="s">
        <v>12</v>
      </c>
      <c r="K91" t="s">
        <v>87</v>
      </c>
      <c r="L91" t="str">
        <f t="shared" si="1"/>
        <v>22.38[-11.80,56.56]</v>
      </c>
    </row>
    <row r="92" spans="1:12" x14ac:dyDescent="0.25">
      <c r="A92">
        <v>91</v>
      </c>
      <c r="B92">
        <v>43</v>
      </c>
      <c r="C92" t="s">
        <v>31</v>
      </c>
      <c r="D92">
        <v>3.9831281706136998</v>
      </c>
      <c r="E92">
        <v>-39.570564808996998</v>
      </c>
      <c r="F92">
        <v>47.536821150224398</v>
      </c>
      <c r="G92">
        <v>1178.90551105805</v>
      </c>
      <c r="H92">
        <v>1276.3897286916599</v>
      </c>
      <c r="I92" t="s">
        <v>103</v>
      </c>
      <c r="J92" t="s">
        <v>12</v>
      </c>
      <c r="K92" t="s">
        <v>87</v>
      </c>
      <c r="L92" t="str">
        <f t="shared" si="1"/>
        <v>3.98[-39.57,47.54]</v>
      </c>
    </row>
    <row r="93" spans="1:12" x14ac:dyDescent="0.25">
      <c r="A93">
        <v>92</v>
      </c>
      <c r="B93">
        <v>44</v>
      </c>
      <c r="C93" t="s">
        <v>32</v>
      </c>
      <c r="D93">
        <v>0.104104964613012</v>
      </c>
      <c r="E93">
        <v>4.5308137749595898E-2</v>
      </c>
      <c r="F93">
        <v>0.162901791476429</v>
      </c>
      <c r="G93">
        <v>1178.90551105805</v>
      </c>
      <c r="H93">
        <v>1276.3897286916599</v>
      </c>
      <c r="I93" t="s">
        <v>103</v>
      </c>
      <c r="J93" t="s">
        <v>12</v>
      </c>
      <c r="K93" t="s">
        <v>87</v>
      </c>
      <c r="L93" t="str">
        <f t="shared" si="1"/>
        <v>0.10[0.05,0.16]</v>
      </c>
    </row>
    <row r="94" spans="1:12" x14ac:dyDescent="0.25">
      <c r="A94">
        <v>93</v>
      </c>
      <c r="B94">
        <v>45</v>
      </c>
      <c r="C94" t="s">
        <v>33</v>
      </c>
      <c r="D94">
        <v>-1.8128188617280501</v>
      </c>
      <c r="E94">
        <v>-2.7132729670847202</v>
      </c>
      <c r="F94">
        <v>-0.91236475637138004</v>
      </c>
      <c r="G94">
        <v>1178.90551105805</v>
      </c>
      <c r="H94">
        <v>1276.3897286916599</v>
      </c>
      <c r="I94" t="s">
        <v>103</v>
      </c>
      <c r="J94" t="s">
        <v>12</v>
      </c>
      <c r="K94" t="s">
        <v>87</v>
      </c>
      <c r="L94" t="str">
        <f t="shared" si="1"/>
        <v>-1.81[-2.71,-0.91]</v>
      </c>
    </row>
    <row r="95" spans="1:12" x14ac:dyDescent="0.25">
      <c r="A95">
        <v>94</v>
      </c>
      <c r="B95">
        <v>46</v>
      </c>
      <c r="C95" t="s">
        <v>34</v>
      </c>
      <c r="D95">
        <v>0.65585925574211901</v>
      </c>
      <c r="E95">
        <v>-1.10971393691438E-2</v>
      </c>
      <c r="F95">
        <v>1.3228156508533799</v>
      </c>
      <c r="G95">
        <v>1178.90551105805</v>
      </c>
      <c r="H95">
        <v>1276.3897286916599</v>
      </c>
      <c r="I95" t="s">
        <v>103</v>
      </c>
      <c r="J95" t="s">
        <v>12</v>
      </c>
      <c r="K95" t="s">
        <v>87</v>
      </c>
      <c r="L95" t="str">
        <f t="shared" si="1"/>
        <v>0.66[-0.01,1.32]</v>
      </c>
    </row>
    <row r="96" spans="1:12" x14ac:dyDescent="0.25">
      <c r="A96">
        <v>95</v>
      </c>
      <c r="B96">
        <v>47</v>
      </c>
      <c r="C96" t="s">
        <v>35</v>
      </c>
      <c r="D96">
        <v>3.9426085258759E-2</v>
      </c>
      <c r="E96">
        <v>-1.5613268988605499E-2</v>
      </c>
      <c r="F96">
        <v>9.44654395061236E-2</v>
      </c>
      <c r="G96">
        <v>1178.90551105805</v>
      </c>
      <c r="H96">
        <v>1276.3897286916599</v>
      </c>
      <c r="I96" t="s">
        <v>103</v>
      </c>
      <c r="J96" t="s">
        <v>12</v>
      </c>
      <c r="K96" t="s">
        <v>87</v>
      </c>
      <c r="L96" t="str">
        <f t="shared" si="1"/>
        <v>0.04[-0.02,0.09]</v>
      </c>
    </row>
    <row r="97" spans="1:12" x14ac:dyDescent="0.25">
      <c r="A97">
        <v>96</v>
      </c>
      <c r="B97">
        <v>48</v>
      </c>
      <c r="C97" t="s">
        <v>36</v>
      </c>
      <c r="D97">
        <v>4.1542353725156501E-2</v>
      </c>
      <c r="E97">
        <v>4.7462906640985698E-3</v>
      </c>
      <c r="F97">
        <v>7.8338416786214393E-2</v>
      </c>
      <c r="G97">
        <v>1178.90551105805</v>
      </c>
      <c r="H97">
        <v>1276.3897286916599</v>
      </c>
      <c r="I97" t="s">
        <v>103</v>
      </c>
      <c r="J97" t="s">
        <v>12</v>
      </c>
      <c r="K97" t="s">
        <v>87</v>
      </c>
      <c r="L97" t="str">
        <f t="shared" si="1"/>
        <v>0.04[0.00,0.08]</v>
      </c>
    </row>
    <row r="98" spans="1:12" x14ac:dyDescent="0.25">
      <c r="A98">
        <v>97</v>
      </c>
      <c r="B98" t="s">
        <v>10</v>
      </c>
      <c r="C98" t="s">
        <v>10</v>
      </c>
      <c r="D98">
        <v>6.5559027031860504</v>
      </c>
      <c r="E98">
        <v>5.82051691558648</v>
      </c>
      <c r="F98">
        <v>7.2912884907856199</v>
      </c>
      <c r="G98">
        <v>265.41685836977399</v>
      </c>
      <c r="H98">
        <v>306.66018121476401</v>
      </c>
      <c r="I98" t="s">
        <v>102</v>
      </c>
      <c r="J98" t="s">
        <v>104</v>
      </c>
      <c r="K98" t="s">
        <v>13</v>
      </c>
      <c r="L98" t="str">
        <f t="shared" si="1"/>
        <v>6.56[5.82,7.29]</v>
      </c>
    </row>
    <row r="99" spans="1:12" x14ac:dyDescent="0.25">
      <c r="A99">
        <v>98</v>
      </c>
      <c r="B99" t="s">
        <v>14</v>
      </c>
      <c r="C99" t="s">
        <v>14</v>
      </c>
      <c r="D99">
        <v>1.1420129138538E-4</v>
      </c>
      <c r="E99" s="10">
        <v>8.6784879301715507E-5</v>
      </c>
      <c r="F99">
        <v>1.4161770346904999E-4</v>
      </c>
      <c r="G99">
        <v>265.41685836977399</v>
      </c>
      <c r="H99">
        <v>306.66018121476401</v>
      </c>
      <c r="I99" t="s">
        <v>102</v>
      </c>
      <c r="J99" t="s">
        <v>104</v>
      </c>
      <c r="K99" t="s">
        <v>13</v>
      </c>
      <c r="L99" t="str">
        <f t="shared" si="1"/>
        <v>0.00[0.00,0.00]</v>
      </c>
    </row>
    <row r="100" spans="1:12" x14ac:dyDescent="0.25">
      <c r="A100">
        <v>99</v>
      </c>
      <c r="B100" t="s">
        <v>89</v>
      </c>
      <c r="C100" t="s">
        <v>89</v>
      </c>
      <c r="D100">
        <v>-0.148882441325524</v>
      </c>
      <c r="E100">
        <v>-0.178305015909548</v>
      </c>
      <c r="F100">
        <v>-0.1194598667415</v>
      </c>
      <c r="G100">
        <v>265.41685836977399</v>
      </c>
      <c r="H100">
        <v>306.66018121476401</v>
      </c>
      <c r="I100" t="s">
        <v>102</v>
      </c>
      <c r="J100" t="s">
        <v>104</v>
      </c>
      <c r="K100" t="s">
        <v>13</v>
      </c>
      <c r="L100" t="str">
        <f t="shared" si="1"/>
        <v>-0.15[-0.18,-0.12]</v>
      </c>
    </row>
    <row r="101" spans="1:12" x14ac:dyDescent="0.25">
      <c r="A101">
        <v>100</v>
      </c>
      <c r="B101" t="s">
        <v>19</v>
      </c>
      <c r="C101" t="s">
        <v>19</v>
      </c>
      <c r="D101">
        <v>3.5708736056569799</v>
      </c>
      <c r="E101">
        <v>2.9094068281145802</v>
      </c>
      <c r="F101">
        <v>4.2323403831993902</v>
      </c>
      <c r="G101">
        <v>265.41685836977399</v>
      </c>
      <c r="H101">
        <v>306.66018121476401</v>
      </c>
      <c r="I101" t="s">
        <v>102</v>
      </c>
      <c r="J101" t="s">
        <v>104</v>
      </c>
      <c r="K101" t="s">
        <v>13</v>
      </c>
      <c r="L101" t="str">
        <f t="shared" si="1"/>
        <v>3.57[2.91,4.23]</v>
      </c>
    </row>
    <row r="102" spans="1:12" x14ac:dyDescent="0.25">
      <c r="A102">
        <v>101</v>
      </c>
      <c r="B102" t="s">
        <v>30</v>
      </c>
      <c r="C102" t="s">
        <v>30</v>
      </c>
      <c r="D102">
        <v>-2.9057039634223401</v>
      </c>
      <c r="E102">
        <v>-7.3640541655941396</v>
      </c>
      <c r="F102">
        <v>1.55264623874945</v>
      </c>
      <c r="G102">
        <v>265.41685836977399</v>
      </c>
      <c r="H102">
        <v>306.66018121476401</v>
      </c>
      <c r="I102" t="s">
        <v>102</v>
      </c>
      <c r="J102" t="s">
        <v>104</v>
      </c>
      <c r="K102" t="s">
        <v>13</v>
      </c>
      <c r="L102" t="str">
        <f t="shared" si="1"/>
        <v>-2.91[-7.36,1.55]</v>
      </c>
    </row>
    <row r="103" spans="1:12" x14ac:dyDescent="0.25">
      <c r="A103">
        <v>102</v>
      </c>
      <c r="B103" t="s">
        <v>27</v>
      </c>
      <c r="C103" t="s">
        <v>27</v>
      </c>
      <c r="D103">
        <v>3.2511770075375902E-2</v>
      </c>
      <c r="E103">
        <v>2.3676795075210099E-2</v>
      </c>
      <c r="F103">
        <v>4.1346745075541702E-2</v>
      </c>
      <c r="G103">
        <v>265.41685836977399</v>
      </c>
      <c r="H103">
        <v>306.66018121476401</v>
      </c>
      <c r="I103" t="s">
        <v>102</v>
      </c>
      <c r="J103" t="s">
        <v>104</v>
      </c>
      <c r="K103" t="s">
        <v>13</v>
      </c>
      <c r="L103" t="str">
        <f t="shared" si="1"/>
        <v>0.03[0.02,0.04]</v>
      </c>
    </row>
    <row r="104" spans="1:12" x14ac:dyDescent="0.25">
      <c r="A104">
        <v>103</v>
      </c>
      <c r="B104" t="s">
        <v>20</v>
      </c>
      <c r="C104" t="s">
        <v>20</v>
      </c>
      <c r="D104">
        <v>2.3936697079976499</v>
      </c>
      <c r="E104">
        <v>0.819757681063493</v>
      </c>
      <c r="F104">
        <v>3.9675817349317999</v>
      </c>
      <c r="G104">
        <v>265.41685836977399</v>
      </c>
      <c r="H104">
        <v>306.66018121476401</v>
      </c>
      <c r="I104" t="s">
        <v>102</v>
      </c>
      <c r="J104" t="s">
        <v>104</v>
      </c>
      <c r="K104" t="s">
        <v>13</v>
      </c>
      <c r="L104" t="str">
        <f t="shared" si="1"/>
        <v>2.39[0.82,3.97]</v>
      </c>
    </row>
    <row r="105" spans="1:12" x14ac:dyDescent="0.25">
      <c r="A105">
        <v>104</v>
      </c>
      <c r="B105" t="s">
        <v>22</v>
      </c>
      <c r="C105" t="s">
        <v>22</v>
      </c>
      <c r="D105">
        <v>6.5762866970372105E-2</v>
      </c>
      <c r="E105">
        <v>4.0661851557628699E-2</v>
      </c>
      <c r="F105">
        <v>9.0863882383115602E-2</v>
      </c>
      <c r="G105">
        <v>265.41685836977399</v>
      </c>
      <c r="H105">
        <v>306.66018121476401</v>
      </c>
      <c r="I105" t="s">
        <v>102</v>
      </c>
      <c r="J105" t="s">
        <v>104</v>
      </c>
      <c r="K105" t="s">
        <v>13</v>
      </c>
      <c r="L105" t="str">
        <f t="shared" si="1"/>
        <v>0.07[0.04,0.09]</v>
      </c>
    </row>
    <row r="106" spans="1:12" x14ac:dyDescent="0.25">
      <c r="A106">
        <v>105</v>
      </c>
      <c r="B106" t="s">
        <v>23</v>
      </c>
      <c r="C106" t="s">
        <v>23</v>
      </c>
      <c r="D106">
        <v>7.9985840690534102</v>
      </c>
      <c r="E106">
        <v>4.4930768032844401</v>
      </c>
      <c r="F106">
        <v>11.5040913348224</v>
      </c>
      <c r="G106">
        <v>265.41685836977399</v>
      </c>
      <c r="H106">
        <v>306.66018121476401</v>
      </c>
      <c r="I106" t="s">
        <v>102</v>
      </c>
      <c r="J106" t="s">
        <v>104</v>
      </c>
      <c r="K106" t="s">
        <v>13</v>
      </c>
      <c r="L106" t="str">
        <f t="shared" si="1"/>
        <v>8.00[4.49,11.50]</v>
      </c>
    </row>
    <row r="107" spans="1:12" x14ac:dyDescent="0.25">
      <c r="A107">
        <v>106</v>
      </c>
      <c r="B107" t="s">
        <v>34</v>
      </c>
      <c r="C107" t="s">
        <v>34</v>
      </c>
      <c r="D107">
        <v>-8.8580705702790405E-2</v>
      </c>
      <c r="E107">
        <v>-0.233738520423308</v>
      </c>
      <c r="F107">
        <v>5.65771090177275E-2</v>
      </c>
      <c r="G107">
        <v>265.41685836977399</v>
      </c>
      <c r="H107">
        <v>306.66018121476401</v>
      </c>
      <c r="I107" t="s">
        <v>102</v>
      </c>
      <c r="J107" t="s">
        <v>104</v>
      </c>
      <c r="K107" t="s">
        <v>13</v>
      </c>
      <c r="L107" t="str">
        <f t="shared" si="1"/>
        <v>-0.09[-0.23,0.06]</v>
      </c>
    </row>
    <row r="108" spans="1:12" x14ac:dyDescent="0.25">
      <c r="A108">
        <v>107</v>
      </c>
      <c r="B108" t="s">
        <v>37</v>
      </c>
      <c r="C108" t="s">
        <v>10</v>
      </c>
      <c r="D108">
        <v>18.520062521022901</v>
      </c>
      <c r="E108">
        <v>15.3619815068138</v>
      </c>
      <c r="F108">
        <v>21.6781435352319</v>
      </c>
      <c r="G108">
        <v>1180.61671064397</v>
      </c>
      <c r="H108">
        <v>1221.86003348896</v>
      </c>
      <c r="I108" t="s">
        <v>103</v>
      </c>
      <c r="J108" t="s">
        <v>104</v>
      </c>
      <c r="K108" t="s">
        <v>13</v>
      </c>
      <c r="L108" t="str">
        <f t="shared" si="1"/>
        <v>18.52[15.36,21.68]</v>
      </c>
    </row>
    <row r="109" spans="1:12" x14ac:dyDescent="0.25">
      <c r="A109">
        <v>108</v>
      </c>
      <c r="B109" t="s">
        <v>39</v>
      </c>
      <c r="C109" t="s">
        <v>14</v>
      </c>
      <c r="D109">
        <v>-3.2548515060997E-4</v>
      </c>
      <c r="E109">
        <v>-4.4322369266392E-4</v>
      </c>
      <c r="F109">
        <v>-2.0774660855602E-4</v>
      </c>
      <c r="G109">
        <v>1180.61671064397</v>
      </c>
      <c r="H109">
        <v>1221.86003348896</v>
      </c>
      <c r="I109" t="s">
        <v>103</v>
      </c>
      <c r="J109" t="s">
        <v>104</v>
      </c>
      <c r="K109" t="s">
        <v>13</v>
      </c>
      <c r="L109" t="str">
        <f t="shared" si="1"/>
        <v>0.00[0.00,0.00]</v>
      </c>
    </row>
    <row r="110" spans="1:12" x14ac:dyDescent="0.25">
      <c r="A110">
        <v>109</v>
      </c>
      <c r="B110" t="s">
        <v>91</v>
      </c>
      <c r="C110" t="s">
        <v>89</v>
      </c>
      <c r="D110">
        <v>4.3701270426551003E-2</v>
      </c>
      <c r="E110">
        <v>-8.2652645776071607E-2</v>
      </c>
      <c r="F110">
        <v>0.17005518662917399</v>
      </c>
      <c r="G110">
        <v>1180.61671064397</v>
      </c>
      <c r="H110">
        <v>1221.86003348896</v>
      </c>
      <c r="I110" t="s">
        <v>103</v>
      </c>
      <c r="J110" t="s">
        <v>104</v>
      </c>
      <c r="K110" t="s">
        <v>13</v>
      </c>
      <c r="L110" t="str">
        <f t="shared" si="1"/>
        <v>0.04[-0.08,0.17]</v>
      </c>
    </row>
    <row r="111" spans="1:12" x14ac:dyDescent="0.25">
      <c r="A111">
        <v>110</v>
      </c>
      <c r="B111" t="s">
        <v>44</v>
      </c>
      <c r="C111" t="s">
        <v>19</v>
      </c>
      <c r="D111">
        <v>25.417035074533501</v>
      </c>
      <c r="E111">
        <v>22.576395906749902</v>
      </c>
      <c r="F111">
        <v>28.257674242317101</v>
      </c>
      <c r="G111">
        <v>1180.61671064397</v>
      </c>
      <c r="H111">
        <v>1221.86003348896</v>
      </c>
      <c r="I111" t="s">
        <v>103</v>
      </c>
      <c r="J111" t="s">
        <v>104</v>
      </c>
      <c r="K111" t="s">
        <v>13</v>
      </c>
      <c r="L111" t="str">
        <f t="shared" si="1"/>
        <v>25.42[22.58,28.26]</v>
      </c>
    </row>
    <row r="112" spans="1:12" x14ac:dyDescent="0.25">
      <c r="A112">
        <v>111</v>
      </c>
      <c r="B112" t="s">
        <v>55</v>
      </c>
      <c r="C112" t="s">
        <v>30</v>
      </c>
      <c r="D112">
        <v>8.6942775069144798</v>
      </c>
      <c r="E112">
        <v>-10.4519058509839</v>
      </c>
      <c r="F112">
        <v>27.840460864812801</v>
      </c>
      <c r="G112">
        <v>1180.61671064397</v>
      </c>
      <c r="H112">
        <v>1221.86003348896</v>
      </c>
      <c r="I112" t="s">
        <v>103</v>
      </c>
      <c r="J112" t="s">
        <v>104</v>
      </c>
      <c r="K112" t="s">
        <v>13</v>
      </c>
      <c r="L112" t="str">
        <f t="shared" si="1"/>
        <v>8.69[-10.45,27.84]</v>
      </c>
    </row>
    <row r="113" spans="1:12" x14ac:dyDescent="0.25">
      <c r="A113">
        <v>112</v>
      </c>
      <c r="B113" t="s">
        <v>52</v>
      </c>
      <c r="C113" t="s">
        <v>27</v>
      </c>
      <c r="D113">
        <v>5.82556975966756E-2</v>
      </c>
      <c r="E113">
        <v>2.03142969338874E-2</v>
      </c>
      <c r="F113">
        <v>9.6197098259463903E-2</v>
      </c>
      <c r="G113">
        <v>1180.61671064397</v>
      </c>
      <c r="H113">
        <v>1221.86003348896</v>
      </c>
      <c r="I113" t="s">
        <v>103</v>
      </c>
      <c r="J113" t="s">
        <v>104</v>
      </c>
      <c r="K113" t="s">
        <v>13</v>
      </c>
      <c r="L113" t="str">
        <f t="shared" si="1"/>
        <v>0.06[0.02,0.10]</v>
      </c>
    </row>
    <row r="114" spans="1:12" x14ac:dyDescent="0.25">
      <c r="A114">
        <v>113</v>
      </c>
      <c r="B114" t="s">
        <v>45</v>
      </c>
      <c r="C114" t="s">
        <v>20</v>
      </c>
      <c r="D114">
        <v>26.118519024507599</v>
      </c>
      <c r="E114">
        <v>19.3594249896327</v>
      </c>
      <c r="F114">
        <v>32.877613059382597</v>
      </c>
      <c r="G114">
        <v>1180.61671064397</v>
      </c>
      <c r="H114">
        <v>1221.86003348896</v>
      </c>
      <c r="I114" t="s">
        <v>103</v>
      </c>
      <c r="J114" t="s">
        <v>104</v>
      </c>
      <c r="K114" t="s">
        <v>13</v>
      </c>
      <c r="L114" t="str">
        <f t="shared" si="1"/>
        <v>26.12[19.36,32.88]</v>
      </c>
    </row>
    <row r="115" spans="1:12" x14ac:dyDescent="0.25">
      <c r="A115">
        <v>114</v>
      </c>
      <c r="B115" t="s">
        <v>47</v>
      </c>
      <c r="C115" t="s">
        <v>22</v>
      </c>
      <c r="D115">
        <v>0.16468485377915501</v>
      </c>
      <c r="E115">
        <v>5.6889678037305699E-2</v>
      </c>
      <c r="F115">
        <v>0.27248002952100497</v>
      </c>
      <c r="G115">
        <v>1180.61671064397</v>
      </c>
      <c r="H115">
        <v>1221.86003348896</v>
      </c>
      <c r="I115" t="s">
        <v>103</v>
      </c>
      <c r="J115" t="s">
        <v>104</v>
      </c>
      <c r="K115" t="s">
        <v>13</v>
      </c>
      <c r="L115" t="str">
        <f t="shared" si="1"/>
        <v>0.16[0.06,0.27]</v>
      </c>
    </row>
    <row r="116" spans="1:12" x14ac:dyDescent="0.25">
      <c r="A116">
        <v>115</v>
      </c>
      <c r="B116" t="s">
        <v>48</v>
      </c>
      <c r="C116" t="s">
        <v>23</v>
      </c>
      <c r="D116">
        <v>-42.053731793603298</v>
      </c>
      <c r="E116">
        <v>-57.107974244131903</v>
      </c>
      <c r="F116">
        <v>-26.9994893430746</v>
      </c>
      <c r="G116">
        <v>1180.61671064397</v>
      </c>
      <c r="H116">
        <v>1221.86003348896</v>
      </c>
      <c r="I116" t="s">
        <v>103</v>
      </c>
      <c r="J116" t="s">
        <v>104</v>
      </c>
      <c r="K116" t="s">
        <v>13</v>
      </c>
      <c r="L116" t="str">
        <f t="shared" si="1"/>
        <v>-42.05[-57.11,-27.00]</v>
      </c>
    </row>
    <row r="117" spans="1:12" x14ac:dyDescent="0.25">
      <c r="A117">
        <v>116</v>
      </c>
      <c r="B117" t="s">
        <v>59</v>
      </c>
      <c r="C117" t="s">
        <v>34</v>
      </c>
      <c r="D117">
        <v>0.66966745912750603</v>
      </c>
      <c r="E117">
        <v>4.6293787154175398E-2</v>
      </c>
      <c r="F117">
        <v>1.2930411311008401</v>
      </c>
      <c r="G117">
        <v>1180.61671064397</v>
      </c>
      <c r="H117">
        <v>1221.86003348896</v>
      </c>
      <c r="I117" t="s">
        <v>103</v>
      </c>
      <c r="J117" t="s">
        <v>104</v>
      </c>
      <c r="K117" t="s">
        <v>13</v>
      </c>
      <c r="L117" t="str">
        <f t="shared" si="1"/>
        <v>0.67[0.05,1.29]</v>
      </c>
    </row>
    <row r="118" spans="1:12" x14ac:dyDescent="0.25">
      <c r="A118">
        <v>117</v>
      </c>
      <c r="B118">
        <v>1</v>
      </c>
      <c r="C118" t="s">
        <v>10</v>
      </c>
      <c r="D118">
        <v>6.5952152986991903</v>
      </c>
      <c r="E118">
        <v>5.8528110863921796</v>
      </c>
      <c r="F118">
        <v>7.3376195110062001</v>
      </c>
      <c r="G118">
        <v>318.70485779372598</v>
      </c>
      <c r="H118">
        <v>363.69757362462502</v>
      </c>
      <c r="I118" t="s">
        <v>102</v>
      </c>
      <c r="J118" t="s">
        <v>104</v>
      </c>
      <c r="K118" t="s">
        <v>87</v>
      </c>
      <c r="L118" t="str">
        <f t="shared" si="1"/>
        <v>6.60[5.85,7.34]</v>
      </c>
    </row>
    <row r="119" spans="1:12" x14ac:dyDescent="0.25">
      <c r="A119">
        <v>118</v>
      </c>
      <c r="B119">
        <v>2</v>
      </c>
      <c r="C119" t="s">
        <v>14</v>
      </c>
      <c r="D119">
        <v>1.1285642607336E-4</v>
      </c>
      <c r="E119" s="10">
        <v>8.5203726214538094E-5</v>
      </c>
      <c r="F119">
        <v>1.4050912593219E-4</v>
      </c>
      <c r="G119">
        <v>318.70485779372598</v>
      </c>
      <c r="H119">
        <v>363.69757362462502</v>
      </c>
      <c r="I119" t="s">
        <v>102</v>
      </c>
      <c r="J119" t="s">
        <v>104</v>
      </c>
      <c r="K119" t="s">
        <v>87</v>
      </c>
      <c r="L119" t="str">
        <f t="shared" si="1"/>
        <v>0.00[0.00,0.00]</v>
      </c>
    </row>
    <row r="120" spans="1:12" x14ac:dyDescent="0.25">
      <c r="A120">
        <v>119</v>
      </c>
      <c r="B120">
        <v>3</v>
      </c>
      <c r="C120" t="s">
        <v>89</v>
      </c>
      <c r="D120">
        <v>-0.14967051521626501</v>
      </c>
      <c r="E120">
        <v>-0.17923489554451899</v>
      </c>
      <c r="F120">
        <v>-0.120106134888012</v>
      </c>
      <c r="G120">
        <v>318.70485779372598</v>
      </c>
      <c r="H120">
        <v>363.69757362462502</v>
      </c>
      <c r="I120" t="s">
        <v>102</v>
      </c>
      <c r="J120" t="s">
        <v>104</v>
      </c>
      <c r="K120" t="s">
        <v>87</v>
      </c>
      <c r="L120" t="str">
        <f t="shared" si="1"/>
        <v>-0.15[-0.18,-0.12]</v>
      </c>
    </row>
    <row r="121" spans="1:12" x14ac:dyDescent="0.25">
      <c r="A121">
        <v>120</v>
      </c>
      <c r="B121">
        <v>4</v>
      </c>
      <c r="C121" t="s">
        <v>19</v>
      </c>
      <c r="D121">
        <v>3.5601600860328899</v>
      </c>
      <c r="E121">
        <v>2.8988856411195698</v>
      </c>
      <c r="F121">
        <v>4.2214345309462002</v>
      </c>
      <c r="G121">
        <v>318.70485779372598</v>
      </c>
      <c r="H121">
        <v>363.69757362462502</v>
      </c>
      <c r="I121" t="s">
        <v>102</v>
      </c>
      <c r="J121" t="s">
        <v>104</v>
      </c>
      <c r="K121" t="s">
        <v>87</v>
      </c>
      <c r="L121" t="str">
        <f t="shared" si="1"/>
        <v>3.56[2.90,4.22]</v>
      </c>
    </row>
    <row r="122" spans="1:12" x14ac:dyDescent="0.25">
      <c r="A122">
        <v>121</v>
      </c>
      <c r="B122">
        <v>5</v>
      </c>
      <c r="C122" t="s">
        <v>30</v>
      </c>
      <c r="D122">
        <v>-2.81785166567182</v>
      </c>
      <c r="E122">
        <v>-7.3051192578298396</v>
      </c>
      <c r="F122">
        <v>1.6694159264862101</v>
      </c>
      <c r="G122">
        <v>318.70485779372598</v>
      </c>
      <c r="H122">
        <v>363.69757362462502</v>
      </c>
      <c r="I122" t="s">
        <v>102</v>
      </c>
      <c r="J122" t="s">
        <v>104</v>
      </c>
      <c r="K122" t="s">
        <v>87</v>
      </c>
      <c r="L122" t="str">
        <f t="shared" si="1"/>
        <v>-2.82[-7.31,1.67]</v>
      </c>
    </row>
    <row r="123" spans="1:12" x14ac:dyDescent="0.25">
      <c r="A123">
        <v>122</v>
      </c>
      <c r="B123">
        <v>6</v>
      </c>
      <c r="C123" t="s">
        <v>27</v>
      </c>
      <c r="D123">
        <v>3.23854939932341E-2</v>
      </c>
      <c r="E123">
        <v>2.3566083729170399E-2</v>
      </c>
      <c r="F123">
        <v>4.1204904257297802E-2</v>
      </c>
      <c r="G123">
        <v>318.70485779372598</v>
      </c>
      <c r="H123">
        <v>363.69757362462502</v>
      </c>
      <c r="I123" t="s">
        <v>102</v>
      </c>
      <c r="J123" t="s">
        <v>104</v>
      </c>
      <c r="K123" t="s">
        <v>87</v>
      </c>
      <c r="L123" t="str">
        <f t="shared" si="1"/>
        <v>0.03[0.02,0.04]</v>
      </c>
    </row>
    <row r="124" spans="1:12" x14ac:dyDescent="0.25">
      <c r="A124">
        <v>123</v>
      </c>
      <c r="B124">
        <v>7</v>
      </c>
      <c r="C124" t="s">
        <v>20</v>
      </c>
      <c r="D124">
        <v>2.3771618716787999</v>
      </c>
      <c r="E124">
        <v>0.78641352540513298</v>
      </c>
      <c r="F124">
        <v>3.9679102179524701</v>
      </c>
      <c r="G124">
        <v>318.70485779372598</v>
      </c>
      <c r="H124">
        <v>363.69757362462502</v>
      </c>
      <c r="I124" t="s">
        <v>102</v>
      </c>
      <c r="J124" t="s">
        <v>104</v>
      </c>
      <c r="K124" t="s">
        <v>87</v>
      </c>
      <c r="L124" t="str">
        <f t="shared" si="1"/>
        <v>2.38[0.79,3.97]</v>
      </c>
    </row>
    <row r="125" spans="1:12" x14ac:dyDescent="0.25">
      <c r="A125">
        <v>124</v>
      </c>
      <c r="B125">
        <v>8</v>
      </c>
      <c r="C125" t="s">
        <v>22</v>
      </c>
      <c r="D125">
        <v>6.5331103222552894E-2</v>
      </c>
      <c r="E125">
        <v>4.0066326246246897E-2</v>
      </c>
      <c r="F125">
        <v>9.0595880198858905E-2</v>
      </c>
      <c r="G125">
        <v>318.70485779372598</v>
      </c>
      <c r="H125">
        <v>363.69757362462502</v>
      </c>
      <c r="I125" t="s">
        <v>102</v>
      </c>
      <c r="J125" t="s">
        <v>104</v>
      </c>
      <c r="K125" t="s">
        <v>87</v>
      </c>
      <c r="L125" t="str">
        <f t="shared" si="1"/>
        <v>0.07[0.04,0.09]</v>
      </c>
    </row>
    <row r="126" spans="1:12" x14ac:dyDescent="0.25">
      <c r="A126">
        <v>125</v>
      </c>
      <c r="B126">
        <v>9</v>
      </c>
      <c r="C126" t="s">
        <v>23</v>
      </c>
      <c r="D126">
        <v>7.9969044819480999</v>
      </c>
      <c r="E126">
        <v>4.4720171727873996</v>
      </c>
      <c r="F126">
        <v>11.5217917911088</v>
      </c>
      <c r="G126">
        <v>318.70485779372598</v>
      </c>
      <c r="H126">
        <v>363.69757362462502</v>
      </c>
      <c r="I126" t="s">
        <v>102</v>
      </c>
      <c r="J126" t="s">
        <v>104</v>
      </c>
      <c r="K126" t="s">
        <v>87</v>
      </c>
      <c r="L126" t="str">
        <f t="shared" si="1"/>
        <v>8.00[4.47,11.52]</v>
      </c>
    </row>
    <row r="127" spans="1:12" x14ac:dyDescent="0.25">
      <c r="A127">
        <v>126</v>
      </c>
      <c r="B127">
        <v>10</v>
      </c>
      <c r="C127" t="s">
        <v>34</v>
      </c>
      <c r="D127">
        <v>-9.45593178321886E-2</v>
      </c>
      <c r="E127">
        <v>-0.24165153414726101</v>
      </c>
      <c r="F127">
        <v>5.2532898482884102E-2</v>
      </c>
      <c r="G127">
        <v>318.70485779372598</v>
      </c>
      <c r="H127">
        <v>363.69757362462502</v>
      </c>
      <c r="I127" t="s">
        <v>102</v>
      </c>
      <c r="J127" t="s">
        <v>104</v>
      </c>
      <c r="K127" t="s">
        <v>87</v>
      </c>
      <c r="L127" t="str">
        <f t="shared" si="1"/>
        <v>-0.09[-0.24,0.05]</v>
      </c>
    </row>
    <row r="128" spans="1:12" x14ac:dyDescent="0.25">
      <c r="A128">
        <v>127</v>
      </c>
      <c r="B128">
        <v>11</v>
      </c>
      <c r="C128" t="s">
        <v>10</v>
      </c>
      <c r="D128">
        <v>18.752057923077899</v>
      </c>
      <c r="E128">
        <v>15.5182669804945</v>
      </c>
      <c r="F128">
        <v>21.985848865661399</v>
      </c>
      <c r="G128">
        <v>1198.90440475388</v>
      </c>
      <c r="H128">
        <v>1243.8971205847799</v>
      </c>
      <c r="I128" t="s">
        <v>103</v>
      </c>
      <c r="J128" t="s">
        <v>104</v>
      </c>
      <c r="K128" t="s">
        <v>87</v>
      </c>
      <c r="L128" t="str">
        <f t="shared" si="1"/>
        <v>18.75[15.52,21.99]</v>
      </c>
    </row>
    <row r="129" spans="1:12" x14ac:dyDescent="0.25">
      <c r="A129">
        <v>128</v>
      </c>
      <c r="B129">
        <v>12</v>
      </c>
      <c r="C129" t="s">
        <v>14</v>
      </c>
      <c r="D129">
        <v>-3.2109395152211002E-4</v>
      </c>
      <c r="E129">
        <v>-4.4298740686806999E-4</v>
      </c>
      <c r="F129">
        <v>-1.9920049617614999E-4</v>
      </c>
      <c r="G129">
        <v>1198.90440475388</v>
      </c>
      <c r="H129">
        <v>1243.8971205847799</v>
      </c>
      <c r="I129" t="s">
        <v>103</v>
      </c>
      <c r="J129" t="s">
        <v>104</v>
      </c>
      <c r="K129" t="s">
        <v>87</v>
      </c>
      <c r="L129" t="str">
        <f t="shared" si="1"/>
        <v>0.00[0.00,0.00]</v>
      </c>
    </row>
    <row r="130" spans="1:12" x14ac:dyDescent="0.25">
      <c r="A130">
        <v>129</v>
      </c>
      <c r="B130">
        <v>13</v>
      </c>
      <c r="C130" t="s">
        <v>89</v>
      </c>
      <c r="D130">
        <v>3.1646999905548298E-2</v>
      </c>
      <c r="E130">
        <v>-9.53813789525019E-2</v>
      </c>
      <c r="F130">
        <v>0.158675378763598</v>
      </c>
      <c r="G130">
        <v>1198.90440475388</v>
      </c>
      <c r="H130">
        <v>1243.8971205847799</v>
      </c>
      <c r="I130" t="s">
        <v>103</v>
      </c>
      <c r="J130" t="s">
        <v>104</v>
      </c>
      <c r="K130" t="s">
        <v>87</v>
      </c>
      <c r="L130" t="str">
        <f t="shared" si="1"/>
        <v>0.03[-0.10,0.16]</v>
      </c>
    </row>
    <row r="131" spans="1:12" x14ac:dyDescent="0.25">
      <c r="A131">
        <v>130</v>
      </c>
      <c r="B131">
        <v>14</v>
      </c>
      <c r="C131" t="s">
        <v>19</v>
      </c>
      <c r="D131">
        <v>25.105596967622699</v>
      </c>
      <c r="E131">
        <v>22.293487211615201</v>
      </c>
      <c r="F131">
        <v>27.9177067236302</v>
      </c>
      <c r="G131">
        <v>1198.90440475388</v>
      </c>
      <c r="H131">
        <v>1243.8971205847799</v>
      </c>
      <c r="I131" t="s">
        <v>103</v>
      </c>
      <c r="J131" t="s">
        <v>104</v>
      </c>
      <c r="K131" t="s">
        <v>87</v>
      </c>
      <c r="L131" t="str">
        <f t="shared" ref="L131:L194" si="2">TEXT(ROUND(D131,2),"0.00") &amp; "[" &amp; TEXT(ROUND(E131,2),"0.00") &amp; "," &amp; TEXT(ROUND(F131,2),"0.00") &amp; "]"</f>
        <v>25.11[22.29,27.92]</v>
      </c>
    </row>
    <row r="132" spans="1:12" x14ac:dyDescent="0.25">
      <c r="A132">
        <v>131</v>
      </c>
      <c r="B132">
        <v>15</v>
      </c>
      <c r="C132" t="s">
        <v>30</v>
      </c>
      <c r="D132">
        <v>13.296420196712599</v>
      </c>
      <c r="E132">
        <v>-6.1346520160269202</v>
      </c>
      <c r="F132">
        <v>32.727492409452204</v>
      </c>
      <c r="G132">
        <v>1198.90440475388</v>
      </c>
      <c r="H132">
        <v>1243.8971205847799</v>
      </c>
      <c r="I132" t="s">
        <v>103</v>
      </c>
      <c r="J132" t="s">
        <v>104</v>
      </c>
      <c r="K132" t="s">
        <v>87</v>
      </c>
      <c r="L132" t="str">
        <f t="shared" si="2"/>
        <v>13.30[-6.13,32.73]</v>
      </c>
    </row>
    <row r="133" spans="1:12" x14ac:dyDescent="0.25">
      <c r="A133">
        <v>132</v>
      </c>
      <c r="B133">
        <v>16</v>
      </c>
      <c r="C133" t="s">
        <v>27</v>
      </c>
      <c r="D133">
        <v>5.5852631488094898E-2</v>
      </c>
      <c r="E133">
        <v>1.8660752194603301E-2</v>
      </c>
      <c r="F133">
        <v>9.3044510781586404E-2</v>
      </c>
      <c r="G133">
        <v>1198.90440475388</v>
      </c>
      <c r="H133">
        <v>1243.8971205847799</v>
      </c>
      <c r="I133" t="s">
        <v>103</v>
      </c>
      <c r="J133" t="s">
        <v>104</v>
      </c>
      <c r="K133" t="s">
        <v>87</v>
      </c>
      <c r="L133" t="str">
        <f t="shared" si="2"/>
        <v>0.06[0.02,0.09]</v>
      </c>
    </row>
    <row r="134" spans="1:12" x14ac:dyDescent="0.25">
      <c r="A134">
        <v>133</v>
      </c>
      <c r="B134">
        <v>17</v>
      </c>
      <c r="C134" t="s">
        <v>20</v>
      </c>
      <c r="D134">
        <v>25.6359559668036</v>
      </c>
      <c r="E134">
        <v>18.594773457153401</v>
      </c>
      <c r="F134">
        <v>32.677138476453798</v>
      </c>
      <c r="G134">
        <v>1198.90440475388</v>
      </c>
      <c r="H134">
        <v>1243.8971205847799</v>
      </c>
      <c r="I134" t="s">
        <v>103</v>
      </c>
      <c r="J134" t="s">
        <v>104</v>
      </c>
      <c r="K134" t="s">
        <v>87</v>
      </c>
      <c r="L134" t="str">
        <f t="shared" si="2"/>
        <v>25.64[18.59,32.68]</v>
      </c>
    </row>
    <row r="135" spans="1:12" x14ac:dyDescent="0.25">
      <c r="A135">
        <v>134</v>
      </c>
      <c r="B135">
        <v>18</v>
      </c>
      <c r="C135" t="s">
        <v>22</v>
      </c>
      <c r="D135">
        <v>0.13623465096082099</v>
      </c>
      <c r="E135">
        <v>2.6808889694593201E-2</v>
      </c>
      <c r="F135">
        <v>0.24566041222705001</v>
      </c>
      <c r="G135">
        <v>1198.90440475388</v>
      </c>
      <c r="H135">
        <v>1243.8971205847799</v>
      </c>
      <c r="I135" t="s">
        <v>103</v>
      </c>
      <c r="J135" t="s">
        <v>104</v>
      </c>
      <c r="K135" t="s">
        <v>87</v>
      </c>
      <c r="L135" t="str">
        <f t="shared" si="2"/>
        <v>0.14[0.03,0.25]</v>
      </c>
    </row>
    <row r="136" spans="1:12" x14ac:dyDescent="0.25">
      <c r="A136">
        <v>135</v>
      </c>
      <c r="B136">
        <v>19</v>
      </c>
      <c r="C136" t="s">
        <v>23</v>
      </c>
      <c r="D136">
        <v>-40.414573660910001</v>
      </c>
      <c r="E136">
        <v>-55.540785900670798</v>
      </c>
      <c r="F136">
        <v>-25.2883614211493</v>
      </c>
      <c r="G136">
        <v>1198.90440475388</v>
      </c>
      <c r="H136">
        <v>1243.8971205847799</v>
      </c>
      <c r="I136" t="s">
        <v>103</v>
      </c>
      <c r="J136" t="s">
        <v>104</v>
      </c>
      <c r="K136" t="s">
        <v>87</v>
      </c>
      <c r="L136" t="str">
        <f t="shared" si="2"/>
        <v>-40.41[-55.54,-25.29]</v>
      </c>
    </row>
    <row r="137" spans="1:12" x14ac:dyDescent="0.25">
      <c r="A137">
        <v>136</v>
      </c>
      <c r="B137">
        <v>20</v>
      </c>
      <c r="C137" t="s">
        <v>34</v>
      </c>
      <c r="D137">
        <v>0.713082077388696</v>
      </c>
      <c r="E137">
        <v>7.6897664734508805E-2</v>
      </c>
      <c r="F137">
        <v>1.3492664900428799</v>
      </c>
      <c r="G137">
        <v>1198.90440475388</v>
      </c>
      <c r="H137">
        <v>1243.8971205847799</v>
      </c>
      <c r="I137" t="s">
        <v>103</v>
      </c>
      <c r="J137" t="s">
        <v>104</v>
      </c>
      <c r="K137" t="s">
        <v>87</v>
      </c>
      <c r="L137" t="str">
        <f t="shared" si="2"/>
        <v>0.71[0.08,1.35]</v>
      </c>
    </row>
    <row r="138" spans="1:12" x14ac:dyDescent="0.25">
      <c r="A138">
        <v>137</v>
      </c>
      <c r="B138" t="s">
        <v>10</v>
      </c>
      <c r="C138" t="s">
        <v>10</v>
      </c>
      <c r="D138">
        <v>5.1089664811834998</v>
      </c>
      <c r="E138">
        <v>1.3694851433914399</v>
      </c>
      <c r="F138">
        <v>8.8484478189755595</v>
      </c>
      <c r="G138">
        <v>123.33894315489999</v>
      </c>
      <c r="H138">
        <v>224.572553774423</v>
      </c>
      <c r="I138" t="s">
        <v>102</v>
      </c>
      <c r="J138" t="s">
        <v>95</v>
      </c>
      <c r="K138" t="s">
        <v>13</v>
      </c>
      <c r="L138" t="str">
        <f t="shared" si="2"/>
        <v>5.11[1.37,8.85]</v>
      </c>
    </row>
    <row r="139" spans="1:12" x14ac:dyDescent="0.25">
      <c r="A139">
        <v>138</v>
      </c>
      <c r="B139" t="s">
        <v>14</v>
      </c>
      <c r="C139" t="s">
        <v>14</v>
      </c>
      <c r="D139" s="10">
        <v>4.2060552285526902E-5</v>
      </c>
      <c r="E139" s="10">
        <v>6.8662210534460302E-6</v>
      </c>
      <c r="F139" s="10">
        <v>7.7254883517607697E-5</v>
      </c>
      <c r="G139">
        <v>123.33894315489999</v>
      </c>
      <c r="H139">
        <v>224.572553774423</v>
      </c>
      <c r="I139" t="s">
        <v>102</v>
      </c>
      <c r="J139" t="s">
        <v>95</v>
      </c>
      <c r="K139" t="s">
        <v>13</v>
      </c>
      <c r="L139" t="str">
        <f t="shared" si="2"/>
        <v>0.00[0.00,0.00]</v>
      </c>
    </row>
    <row r="140" spans="1:12" x14ac:dyDescent="0.25">
      <c r="A140">
        <v>139</v>
      </c>
      <c r="B140" t="s">
        <v>89</v>
      </c>
      <c r="C140" t="s">
        <v>89</v>
      </c>
      <c r="D140">
        <v>-8.2916748024494794E-2</v>
      </c>
      <c r="E140">
        <v>-0.13146542888058399</v>
      </c>
      <c r="F140">
        <v>-3.4368067168405299E-2</v>
      </c>
      <c r="G140">
        <v>123.33894315489999</v>
      </c>
      <c r="H140">
        <v>224.572553774423</v>
      </c>
      <c r="I140" t="s">
        <v>102</v>
      </c>
      <c r="J140" t="s">
        <v>95</v>
      </c>
      <c r="K140" t="s">
        <v>13</v>
      </c>
      <c r="L140" t="str">
        <f t="shared" si="2"/>
        <v>-0.08[-0.13,-0.03]</v>
      </c>
    </row>
    <row r="141" spans="1:12" x14ac:dyDescent="0.25">
      <c r="A141">
        <v>140</v>
      </c>
      <c r="B141" t="s">
        <v>15</v>
      </c>
      <c r="C141" t="s">
        <v>15</v>
      </c>
      <c r="D141">
        <v>-1.97536330067549</v>
      </c>
      <c r="E141">
        <v>-4.2881069757041397</v>
      </c>
      <c r="F141">
        <v>0.33738037435315898</v>
      </c>
      <c r="G141">
        <v>123.33894315489999</v>
      </c>
      <c r="H141">
        <v>224.572553774423</v>
      </c>
      <c r="I141" t="s">
        <v>102</v>
      </c>
      <c r="J141" t="s">
        <v>95</v>
      </c>
      <c r="K141" t="s">
        <v>13</v>
      </c>
      <c r="L141" t="str">
        <f t="shared" si="2"/>
        <v>-1.98[-4.29,0.34]</v>
      </c>
    </row>
    <row r="142" spans="1:12" x14ac:dyDescent="0.25">
      <c r="A142">
        <v>141</v>
      </c>
      <c r="B142" t="s">
        <v>17</v>
      </c>
      <c r="C142" t="s">
        <v>17</v>
      </c>
      <c r="D142">
        <v>2.3377819036329699</v>
      </c>
      <c r="E142">
        <v>1.13380345499505</v>
      </c>
      <c r="F142">
        <v>3.54176035227088</v>
      </c>
      <c r="G142">
        <v>123.33894315489999</v>
      </c>
      <c r="H142">
        <v>224.572553774423</v>
      </c>
      <c r="I142" t="s">
        <v>102</v>
      </c>
      <c r="J142" t="s">
        <v>95</v>
      </c>
      <c r="K142" t="s">
        <v>13</v>
      </c>
      <c r="L142" t="str">
        <f t="shared" si="2"/>
        <v>2.34[1.13,3.54]</v>
      </c>
    </row>
    <row r="143" spans="1:12" x14ac:dyDescent="0.25">
      <c r="A143">
        <v>142</v>
      </c>
      <c r="B143" t="s">
        <v>19</v>
      </c>
      <c r="C143" t="s">
        <v>19</v>
      </c>
      <c r="D143">
        <v>2.0591460505211998</v>
      </c>
      <c r="E143">
        <v>1.4200168471018699</v>
      </c>
      <c r="F143">
        <v>2.6982752539405301</v>
      </c>
      <c r="G143">
        <v>123.33894315489999</v>
      </c>
      <c r="H143">
        <v>224.572553774423</v>
      </c>
      <c r="I143" t="s">
        <v>102</v>
      </c>
      <c r="J143" t="s">
        <v>95</v>
      </c>
      <c r="K143" t="s">
        <v>13</v>
      </c>
      <c r="L143" t="str">
        <f t="shared" si="2"/>
        <v>2.06[1.42,2.70]</v>
      </c>
    </row>
    <row r="144" spans="1:12" x14ac:dyDescent="0.25">
      <c r="A144">
        <v>143</v>
      </c>
      <c r="B144" t="s">
        <v>24</v>
      </c>
      <c r="C144" t="s">
        <v>24</v>
      </c>
      <c r="D144">
        <v>6.75530064363529</v>
      </c>
      <c r="E144">
        <v>2.42731599705031</v>
      </c>
      <c r="F144">
        <v>11.083285290220299</v>
      </c>
      <c r="G144">
        <v>123.33894315489999</v>
      </c>
      <c r="H144">
        <v>224.572553774423</v>
      </c>
      <c r="I144" t="s">
        <v>102</v>
      </c>
      <c r="J144" t="s">
        <v>95</v>
      </c>
      <c r="K144" t="s">
        <v>13</v>
      </c>
      <c r="L144" t="str">
        <f t="shared" si="2"/>
        <v>6.76[2.43,11.08]</v>
      </c>
    </row>
    <row r="145" spans="1:12" x14ac:dyDescent="0.25">
      <c r="A145">
        <v>144</v>
      </c>
      <c r="B145" t="s">
        <v>97</v>
      </c>
      <c r="C145" t="s">
        <v>97</v>
      </c>
      <c r="D145">
        <v>-4.5428370374502799E-3</v>
      </c>
      <c r="E145">
        <v>-8.9062143133102293E-3</v>
      </c>
      <c r="F145">
        <v>-1.7945976159032E-4</v>
      </c>
      <c r="G145">
        <v>123.33894315489999</v>
      </c>
      <c r="H145">
        <v>224.572553774423</v>
      </c>
      <c r="I145" t="s">
        <v>102</v>
      </c>
      <c r="J145" t="s">
        <v>95</v>
      </c>
      <c r="K145" t="s">
        <v>13</v>
      </c>
      <c r="L145" t="str">
        <f t="shared" si="2"/>
        <v>0.00[-0.01,0.00]</v>
      </c>
    </row>
    <row r="146" spans="1:12" x14ac:dyDescent="0.25">
      <c r="A146">
        <v>145</v>
      </c>
      <c r="B146" t="s">
        <v>105</v>
      </c>
      <c r="C146" t="s">
        <v>105</v>
      </c>
      <c r="D146">
        <v>-0.181315983691719</v>
      </c>
      <c r="E146">
        <v>-0.22808551465378801</v>
      </c>
      <c r="F146">
        <v>-0.13454645272965099</v>
      </c>
      <c r="G146">
        <v>123.33894315489999</v>
      </c>
      <c r="H146">
        <v>224.572553774423</v>
      </c>
      <c r="I146" t="s">
        <v>102</v>
      </c>
      <c r="J146" t="s">
        <v>95</v>
      </c>
      <c r="K146" t="s">
        <v>13</v>
      </c>
      <c r="L146" t="str">
        <f t="shared" si="2"/>
        <v>-0.18[-0.23,-0.13]</v>
      </c>
    </row>
    <row r="147" spans="1:12" x14ac:dyDescent="0.25">
      <c r="A147">
        <v>146</v>
      </c>
      <c r="B147" t="s">
        <v>106</v>
      </c>
      <c r="C147" t="s">
        <v>106</v>
      </c>
      <c r="D147" s="10">
        <v>-5.2395375530698003E-7</v>
      </c>
      <c r="E147" s="10">
        <v>-8.8670003145035199E-7</v>
      </c>
      <c r="F147" s="10">
        <v>-1.6120747916360901E-7</v>
      </c>
      <c r="G147">
        <v>123.33894315489999</v>
      </c>
      <c r="H147">
        <v>224.572553774423</v>
      </c>
      <c r="I147" t="s">
        <v>102</v>
      </c>
      <c r="J147" t="s">
        <v>95</v>
      </c>
      <c r="K147" t="s">
        <v>13</v>
      </c>
      <c r="L147" t="str">
        <f t="shared" si="2"/>
        <v>0.00[0.00,0.00]</v>
      </c>
    </row>
    <row r="148" spans="1:12" x14ac:dyDescent="0.25">
      <c r="A148">
        <v>147</v>
      </c>
      <c r="B148" t="s">
        <v>27</v>
      </c>
      <c r="C148" t="s">
        <v>27</v>
      </c>
      <c r="D148">
        <v>0.184620435256767</v>
      </c>
      <c r="E148">
        <v>0.13750570902839199</v>
      </c>
      <c r="F148">
        <v>0.231735161485142</v>
      </c>
      <c r="G148">
        <v>123.33894315489999</v>
      </c>
      <c r="H148">
        <v>224.572553774423</v>
      </c>
      <c r="I148" t="s">
        <v>102</v>
      </c>
      <c r="J148" t="s">
        <v>95</v>
      </c>
      <c r="K148" t="s">
        <v>13</v>
      </c>
      <c r="L148" t="str">
        <f t="shared" si="2"/>
        <v>0.18[0.14,0.23]</v>
      </c>
    </row>
    <row r="149" spans="1:12" x14ac:dyDescent="0.25">
      <c r="A149">
        <v>148</v>
      </c>
      <c r="B149" t="s">
        <v>107</v>
      </c>
      <c r="C149" t="s">
        <v>107</v>
      </c>
      <c r="D149">
        <v>-61.192633968977802</v>
      </c>
      <c r="E149">
        <v>-84.511520734119998</v>
      </c>
      <c r="F149">
        <v>-37.873747203835698</v>
      </c>
      <c r="G149">
        <v>123.33894315489999</v>
      </c>
      <c r="H149">
        <v>224.572553774423</v>
      </c>
      <c r="I149" t="s">
        <v>102</v>
      </c>
      <c r="J149" t="s">
        <v>95</v>
      </c>
      <c r="K149" t="s">
        <v>13</v>
      </c>
      <c r="L149" t="str">
        <f t="shared" si="2"/>
        <v>-61.19[-84.51,-37.87]</v>
      </c>
    </row>
    <row r="150" spans="1:12" x14ac:dyDescent="0.25">
      <c r="A150">
        <v>149</v>
      </c>
      <c r="B150" t="s">
        <v>98</v>
      </c>
      <c r="C150" t="s">
        <v>98</v>
      </c>
      <c r="D150">
        <v>-0.58902397551512997</v>
      </c>
      <c r="E150">
        <v>-0.75013708192316098</v>
      </c>
      <c r="F150">
        <v>-0.42791086910710002</v>
      </c>
      <c r="G150">
        <v>123.33894315489999</v>
      </c>
      <c r="H150">
        <v>224.572553774423</v>
      </c>
      <c r="I150" t="s">
        <v>102</v>
      </c>
      <c r="J150" t="s">
        <v>95</v>
      </c>
      <c r="K150" t="s">
        <v>13</v>
      </c>
      <c r="L150" t="str">
        <f t="shared" si="2"/>
        <v>-0.59[-0.75,-0.43]</v>
      </c>
    </row>
    <row r="151" spans="1:12" x14ac:dyDescent="0.25">
      <c r="A151">
        <v>150</v>
      </c>
      <c r="B151" t="s">
        <v>108</v>
      </c>
      <c r="C151" t="s">
        <v>108</v>
      </c>
      <c r="D151">
        <v>-4.4859938505993201E-2</v>
      </c>
      <c r="E151">
        <v>-7.0843113095129098E-2</v>
      </c>
      <c r="F151">
        <v>-1.8876763916857199E-2</v>
      </c>
      <c r="G151">
        <v>123.33894315489999</v>
      </c>
      <c r="H151">
        <v>224.572553774423</v>
      </c>
      <c r="I151" t="s">
        <v>102</v>
      </c>
      <c r="J151" t="s">
        <v>95</v>
      </c>
      <c r="K151" t="s">
        <v>13</v>
      </c>
      <c r="L151" t="str">
        <f t="shared" si="2"/>
        <v>-0.04[-0.07,-0.02]</v>
      </c>
    </row>
    <row r="152" spans="1:12" x14ac:dyDescent="0.25">
      <c r="A152">
        <v>151</v>
      </c>
      <c r="B152" t="s">
        <v>109</v>
      </c>
      <c r="C152" t="s">
        <v>109</v>
      </c>
      <c r="D152">
        <v>-9.3001306533941008</v>
      </c>
      <c r="E152">
        <v>-16.6225173515626</v>
      </c>
      <c r="F152">
        <v>-1.97774395522558</v>
      </c>
      <c r="G152">
        <v>123.33894315489999</v>
      </c>
      <c r="H152">
        <v>224.572553774423</v>
      </c>
      <c r="I152" t="s">
        <v>102</v>
      </c>
      <c r="J152" t="s">
        <v>95</v>
      </c>
      <c r="K152" t="s">
        <v>13</v>
      </c>
      <c r="L152" t="str">
        <f t="shared" si="2"/>
        <v>-9.30[-16.62,-1.98]</v>
      </c>
    </row>
    <row r="153" spans="1:12" x14ac:dyDescent="0.25">
      <c r="A153">
        <v>152</v>
      </c>
      <c r="B153" t="s">
        <v>110</v>
      </c>
      <c r="C153" t="s">
        <v>110</v>
      </c>
      <c r="D153">
        <v>0.63554890847715295</v>
      </c>
      <c r="E153">
        <v>0.23853717937864199</v>
      </c>
      <c r="F153">
        <v>1.03256063757566</v>
      </c>
      <c r="G153">
        <v>123.33894315489999</v>
      </c>
      <c r="H153">
        <v>224.572553774423</v>
      </c>
      <c r="I153" t="s">
        <v>102</v>
      </c>
      <c r="J153" t="s">
        <v>95</v>
      </c>
      <c r="K153" t="s">
        <v>13</v>
      </c>
      <c r="L153" t="str">
        <f t="shared" si="2"/>
        <v>0.64[0.24,1.03]</v>
      </c>
    </row>
    <row r="154" spans="1:12" x14ac:dyDescent="0.25">
      <c r="A154">
        <v>153</v>
      </c>
      <c r="B154" t="s">
        <v>30</v>
      </c>
      <c r="C154" t="s">
        <v>30</v>
      </c>
      <c r="D154">
        <v>4.6027866453527597</v>
      </c>
      <c r="E154">
        <v>1.2255631325347101</v>
      </c>
      <c r="F154">
        <v>7.9800101581708001</v>
      </c>
      <c r="G154">
        <v>123.33894315489999</v>
      </c>
      <c r="H154">
        <v>224.572553774423</v>
      </c>
      <c r="I154" t="s">
        <v>102</v>
      </c>
      <c r="J154" t="s">
        <v>95</v>
      </c>
      <c r="K154" t="s">
        <v>13</v>
      </c>
      <c r="L154" t="str">
        <f t="shared" si="2"/>
        <v>4.60[1.23,7.98]</v>
      </c>
    </row>
    <row r="155" spans="1:12" x14ac:dyDescent="0.25">
      <c r="A155">
        <v>154</v>
      </c>
      <c r="B155" t="s">
        <v>32</v>
      </c>
      <c r="C155" t="s">
        <v>32</v>
      </c>
      <c r="D155">
        <v>-2.4416973914384701E-2</v>
      </c>
      <c r="E155">
        <v>-3.5006214418418502E-2</v>
      </c>
      <c r="F155">
        <v>-1.3827733410350901E-2</v>
      </c>
      <c r="G155">
        <v>123.33894315489999</v>
      </c>
      <c r="H155">
        <v>224.572553774423</v>
      </c>
      <c r="I155" t="s">
        <v>102</v>
      </c>
      <c r="J155" t="s">
        <v>95</v>
      </c>
      <c r="K155" t="s">
        <v>13</v>
      </c>
      <c r="L155" t="str">
        <f t="shared" si="2"/>
        <v>-0.02[-0.04,-0.01]</v>
      </c>
    </row>
    <row r="156" spans="1:12" x14ac:dyDescent="0.25">
      <c r="A156">
        <v>155</v>
      </c>
      <c r="B156" t="s">
        <v>36</v>
      </c>
      <c r="C156" t="s">
        <v>36</v>
      </c>
      <c r="D156">
        <v>9.4600645753191905E-3</v>
      </c>
      <c r="E156">
        <v>4.56336682807712E-3</v>
      </c>
      <c r="F156">
        <v>1.4356762322561299E-2</v>
      </c>
      <c r="G156">
        <v>123.33894315489999</v>
      </c>
      <c r="H156">
        <v>224.572553774423</v>
      </c>
      <c r="I156" t="s">
        <v>102</v>
      </c>
      <c r="J156" t="s">
        <v>95</v>
      </c>
      <c r="K156" t="s">
        <v>13</v>
      </c>
      <c r="L156" t="str">
        <f t="shared" si="2"/>
        <v>0.01[0.00,0.01]</v>
      </c>
    </row>
    <row r="157" spans="1:12" x14ac:dyDescent="0.25">
      <c r="A157">
        <v>156</v>
      </c>
      <c r="B157" t="s">
        <v>96</v>
      </c>
      <c r="C157" t="s">
        <v>96</v>
      </c>
      <c r="D157" s="10">
        <v>6.8630423830448401E-7</v>
      </c>
      <c r="E157" s="10">
        <v>-1.5159273523838E-6</v>
      </c>
      <c r="F157" s="10">
        <v>2.88853582899277E-6</v>
      </c>
      <c r="G157">
        <v>123.33894315489999</v>
      </c>
      <c r="H157">
        <v>224.572553774423</v>
      </c>
      <c r="I157" t="s">
        <v>102</v>
      </c>
      <c r="J157" t="s">
        <v>95</v>
      </c>
      <c r="K157" t="s">
        <v>13</v>
      </c>
      <c r="L157" t="str">
        <f t="shared" si="2"/>
        <v>0.00[0.00,0.00]</v>
      </c>
    </row>
    <row r="158" spans="1:12" x14ac:dyDescent="0.25">
      <c r="A158">
        <v>157</v>
      </c>
      <c r="B158" t="s">
        <v>20</v>
      </c>
      <c r="C158" t="s">
        <v>20</v>
      </c>
      <c r="D158">
        <v>0.15504076696484601</v>
      </c>
      <c r="E158">
        <v>-1.2521646858150901</v>
      </c>
      <c r="F158">
        <v>1.56224621974478</v>
      </c>
      <c r="G158">
        <v>123.33894315489999</v>
      </c>
      <c r="H158">
        <v>224.572553774423</v>
      </c>
      <c r="I158" t="s">
        <v>102</v>
      </c>
      <c r="J158" t="s">
        <v>95</v>
      </c>
      <c r="K158" t="s">
        <v>13</v>
      </c>
      <c r="L158" t="str">
        <f t="shared" si="2"/>
        <v>0.16[-1.25,1.56]</v>
      </c>
    </row>
    <row r="159" spans="1:12" x14ac:dyDescent="0.25">
      <c r="A159">
        <v>158</v>
      </c>
      <c r="B159" t="s">
        <v>23</v>
      </c>
      <c r="C159" t="s">
        <v>23</v>
      </c>
      <c r="D159">
        <v>1.6489978088389801</v>
      </c>
      <c r="E159">
        <v>-2.6067385001780199</v>
      </c>
      <c r="F159">
        <v>5.9047341178559796</v>
      </c>
      <c r="G159">
        <v>123.33894315489999</v>
      </c>
      <c r="H159">
        <v>224.572553774423</v>
      </c>
      <c r="I159" t="s">
        <v>102</v>
      </c>
      <c r="J159" t="s">
        <v>95</v>
      </c>
      <c r="K159" t="s">
        <v>13</v>
      </c>
      <c r="L159" t="str">
        <f t="shared" si="2"/>
        <v>1.65[-2.61,5.90]</v>
      </c>
    </row>
    <row r="160" spans="1:12" x14ac:dyDescent="0.25">
      <c r="A160">
        <v>159</v>
      </c>
      <c r="B160" t="s">
        <v>29</v>
      </c>
      <c r="C160" t="s">
        <v>29</v>
      </c>
      <c r="D160">
        <v>1.0427718103736E-2</v>
      </c>
      <c r="E160">
        <v>-8.6786103979333996E-3</v>
      </c>
      <c r="F160">
        <v>2.9534046605405501E-2</v>
      </c>
      <c r="G160">
        <v>123.33894315489999</v>
      </c>
      <c r="H160">
        <v>224.572553774423</v>
      </c>
      <c r="I160" t="s">
        <v>102</v>
      </c>
      <c r="J160" t="s">
        <v>95</v>
      </c>
      <c r="K160" t="s">
        <v>13</v>
      </c>
      <c r="L160" t="str">
        <f t="shared" si="2"/>
        <v>0.01[-0.01,0.03]</v>
      </c>
    </row>
    <row r="161" spans="1:12" x14ac:dyDescent="0.25">
      <c r="A161">
        <v>160</v>
      </c>
      <c r="B161" t="s">
        <v>156</v>
      </c>
      <c r="C161" t="s">
        <v>156</v>
      </c>
      <c r="D161">
        <v>6.0436018932332101E-2</v>
      </c>
      <c r="E161">
        <v>-0.12180754781297699</v>
      </c>
      <c r="F161">
        <v>0.242679585677641</v>
      </c>
      <c r="G161">
        <v>123.33894315489999</v>
      </c>
      <c r="H161">
        <v>224.572553774423</v>
      </c>
      <c r="I161" t="s">
        <v>102</v>
      </c>
      <c r="J161" t="s">
        <v>95</v>
      </c>
      <c r="K161" t="s">
        <v>13</v>
      </c>
      <c r="L161" t="str">
        <f t="shared" si="2"/>
        <v>0.06[-0.12,0.24]</v>
      </c>
    </row>
    <row r="162" spans="1:12" x14ac:dyDescent="0.25">
      <c r="A162">
        <v>161</v>
      </c>
      <c r="B162" t="s">
        <v>33</v>
      </c>
      <c r="C162" t="s">
        <v>33</v>
      </c>
      <c r="D162">
        <v>-2.3588510023939699E-3</v>
      </c>
      <c r="E162">
        <v>-0.15213483133226599</v>
      </c>
      <c r="F162">
        <v>0.147417129327478</v>
      </c>
      <c r="G162">
        <v>123.33894315489999</v>
      </c>
      <c r="H162">
        <v>224.572553774423</v>
      </c>
      <c r="I162" t="s">
        <v>102</v>
      </c>
      <c r="J162" t="s">
        <v>95</v>
      </c>
      <c r="K162" t="s">
        <v>13</v>
      </c>
      <c r="L162" t="str">
        <f t="shared" si="2"/>
        <v>0.00[-0.15,0.15]</v>
      </c>
    </row>
    <row r="163" spans="1:12" x14ac:dyDescent="0.25">
      <c r="A163">
        <v>162</v>
      </c>
      <c r="B163" t="s">
        <v>34</v>
      </c>
      <c r="C163" t="s">
        <v>34</v>
      </c>
      <c r="D163">
        <v>1.40373592827263E-2</v>
      </c>
      <c r="E163">
        <v>-0.112435978430139</v>
      </c>
      <c r="F163">
        <v>0.14051069699559099</v>
      </c>
      <c r="G163">
        <v>123.33894315489999</v>
      </c>
      <c r="H163">
        <v>224.572553774423</v>
      </c>
      <c r="I163" t="s">
        <v>102</v>
      </c>
      <c r="J163" t="s">
        <v>95</v>
      </c>
      <c r="K163" t="s">
        <v>13</v>
      </c>
      <c r="L163" t="str">
        <f t="shared" si="2"/>
        <v>0.01[-0.11,0.14]</v>
      </c>
    </row>
    <row r="164" spans="1:12" x14ac:dyDescent="0.25">
      <c r="A164">
        <v>163</v>
      </c>
      <c r="B164" t="s">
        <v>37</v>
      </c>
      <c r="C164" t="s">
        <v>10</v>
      </c>
      <c r="D164">
        <v>-6.0667542331959599</v>
      </c>
      <c r="E164">
        <v>-24.3567515468126</v>
      </c>
      <c r="F164">
        <v>12.2232430804207</v>
      </c>
      <c r="G164">
        <v>1120.23078624202</v>
      </c>
      <c r="H164">
        <v>1221.4643968615401</v>
      </c>
      <c r="I164" t="s">
        <v>103</v>
      </c>
      <c r="J164" t="s">
        <v>95</v>
      </c>
      <c r="K164" t="s">
        <v>13</v>
      </c>
      <c r="L164" t="str">
        <f t="shared" si="2"/>
        <v>-6.07[-24.36,12.22]</v>
      </c>
    </row>
    <row r="165" spans="1:12" x14ac:dyDescent="0.25">
      <c r="A165">
        <v>164</v>
      </c>
      <c r="B165" t="s">
        <v>39</v>
      </c>
      <c r="C165" t="s">
        <v>14</v>
      </c>
      <c r="D165">
        <v>-1.8871593030460001E-4</v>
      </c>
      <c r="E165">
        <v>-3.6085323105372998E-4</v>
      </c>
      <c r="F165" s="10">
        <v>-1.65786295554636E-5</v>
      </c>
      <c r="G165">
        <v>1120.23078624202</v>
      </c>
      <c r="H165">
        <v>1221.4643968615401</v>
      </c>
      <c r="I165" t="s">
        <v>103</v>
      </c>
      <c r="J165" t="s">
        <v>95</v>
      </c>
      <c r="K165" t="s">
        <v>13</v>
      </c>
      <c r="L165" t="str">
        <f t="shared" si="2"/>
        <v>0.00[0.00,0.00]</v>
      </c>
    </row>
    <row r="166" spans="1:12" x14ac:dyDescent="0.25">
      <c r="A166">
        <v>165</v>
      </c>
      <c r="B166" t="s">
        <v>91</v>
      </c>
      <c r="C166" t="s">
        <v>89</v>
      </c>
      <c r="D166">
        <v>0.20951209911787999</v>
      </c>
      <c r="E166">
        <v>-2.7942018773719299E-2</v>
      </c>
      <c r="F166">
        <v>0.44696621700947903</v>
      </c>
      <c r="G166">
        <v>1120.23078624202</v>
      </c>
      <c r="H166">
        <v>1221.4643968615401</v>
      </c>
      <c r="I166" t="s">
        <v>103</v>
      </c>
      <c r="J166" t="s">
        <v>95</v>
      </c>
      <c r="K166" t="s">
        <v>13</v>
      </c>
      <c r="L166" t="str">
        <f t="shared" si="2"/>
        <v>0.21[-0.03,0.45]</v>
      </c>
    </row>
    <row r="167" spans="1:12" x14ac:dyDescent="0.25">
      <c r="A167">
        <v>166</v>
      </c>
      <c r="B167" t="s">
        <v>40</v>
      </c>
      <c r="C167" t="s">
        <v>15</v>
      </c>
      <c r="D167">
        <v>10.8682880301211</v>
      </c>
      <c r="E167">
        <v>-0.44346132288773399</v>
      </c>
      <c r="F167">
        <v>22.1800373831299</v>
      </c>
      <c r="G167">
        <v>1120.23078624202</v>
      </c>
      <c r="H167">
        <v>1221.4643968615401</v>
      </c>
      <c r="I167" t="s">
        <v>103</v>
      </c>
      <c r="J167" t="s">
        <v>95</v>
      </c>
      <c r="K167" t="s">
        <v>13</v>
      </c>
      <c r="L167" t="str">
        <f t="shared" si="2"/>
        <v>10.87[-0.44,22.18]</v>
      </c>
    </row>
    <row r="168" spans="1:12" x14ac:dyDescent="0.25">
      <c r="A168">
        <v>167</v>
      </c>
      <c r="B168" t="s">
        <v>42</v>
      </c>
      <c r="C168" t="s">
        <v>17</v>
      </c>
      <c r="D168">
        <v>5.4245885743022901</v>
      </c>
      <c r="E168">
        <v>-0.46413250813578499</v>
      </c>
      <c r="F168">
        <v>11.313309656740399</v>
      </c>
      <c r="G168">
        <v>1120.23078624202</v>
      </c>
      <c r="H168">
        <v>1221.4643968615401</v>
      </c>
      <c r="I168" t="s">
        <v>103</v>
      </c>
      <c r="J168" t="s">
        <v>95</v>
      </c>
      <c r="K168" t="s">
        <v>13</v>
      </c>
      <c r="L168" t="str">
        <f t="shared" si="2"/>
        <v>5.42[-0.46,11.31]</v>
      </c>
    </row>
    <row r="169" spans="1:12" x14ac:dyDescent="0.25">
      <c r="A169">
        <v>168</v>
      </c>
      <c r="B169" t="s">
        <v>44</v>
      </c>
      <c r="C169" t="s">
        <v>19</v>
      </c>
      <c r="D169">
        <v>20.339101803344999</v>
      </c>
      <c r="E169">
        <v>17.213087696667898</v>
      </c>
      <c r="F169">
        <v>23.465115910022</v>
      </c>
      <c r="G169">
        <v>1120.23078624202</v>
      </c>
      <c r="H169">
        <v>1221.4643968615401</v>
      </c>
      <c r="I169" t="s">
        <v>103</v>
      </c>
      <c r="J169" t="s">
        <v>95</v>
      </c>
      <c r="K169" t="s">
        <v>13</v>
      </c>
      <c r="L169" t="str">
        <f t="shared" si="2"/>
        <v>20.34[17.21,23.47]</v>
      </c>
    </row>
    <row r="170" spans="1:12" x14ac:dyDescent="0.25">
      <c r="A170">
        <v>169</v>
      </c>
      <c r="B170" t="s">
        <v>49</v>
      </c>
      <c r="C170" t="s">
        <v>24</v>
      </c>
      <c r="D170">
        <v>29.584092967576801</v>
      </c>
      <c r="E170">
        <v>8.4156954255391305</v>
      </c>
      <c r="F170">
        <v>50.752490509614603</v>
      </c>
      <c r="G170">
        <v>1120.23078624202</v>
      </c>
      <c r="H170">
        <v>1221.4643968615401</v>
      </c>
      <c r="I170" t="s">
        <v>103</v>
      </c>
      <c r="J170" t="s">
        <v>95</v>
      </c>
      <c r="K170" t="s">
        <v>13</v>
      </c>
      <c r="L170" t="str">
        <f t="shared" si="2"/>
        <v>29.58[8.42,50.75]</v>
      </c>
    </row>
    <row r="171" spans="1:12" x14ac:dyDescent="0.25">
      <c r="A171">
        <v>170</v>
      </c>
      <c r="B171" t="s">
        <v>101</v>
      </c>
      <c r="C171" t="s">
        <v>97</v>
      </c>
      <c r="D171">
        <v>-4.1283698840096403E-2</v>
      </c>
      <c r="E171">
        <v>-6.2625203568903401E-2</v>
      </c>
      <c r="F171">
        <v>-1.9942194111289498E-2</v>
      </c>
      <c r="G171">
        <v>1120.23078624202</v>
      </c>
      <c r="H171">
        <v>1221.4643968615401</v>
      </c>
      <c r="I171" t="s">
        <v>103</v>
      </c>
      <c r="J171" t="s">
        <v>95</v>
      </c>
      <c r="K171" t="s">
        <v>13</v>
      </c>
      <c r="L171" t="str">
        <f t="shared" si="2"/>
        <v>-0.04[-0.06,-0.02]</v>
      </c>
    </row>
    <row r="172" spans="1:12" x14ac:dyDescent="0.25">
      <c r="A172">
        <v>171</v>
      </c>
      <c r="B172" t="s">
        <v>111</v>
      </c>
      <c r="C172" t="s">
        <v>105</v>
      </c>
      <c r="D172">
        <v>-0.51085755692198098</v>
      </c>
      <c r="E172">
        <v>-0.73960976033862103</v>
      </c>
      <c r="F172">
        <v>-0.28210535350534</v>
      </c>
      <c r="G172">
        <v>1120.23078624202</v>
      </c>
      <c r="H172">
        <v>1221.4643968615401</v>
      </c>
      <c r="I172" t="s">
        <v>103</v>
      </c>
      <c r="J172" t="s">
        <v>95</v>
      </c>
      <c r="K172" t="s">
        <v>13</v>
      </c>
      <c r="L172" t="str">
        <f t="shared" si="2"/>
        <v>-0.51[-0.74,-0.28]</v>
      </c>
    </row>
    <row r="173" spans="1:12" x14ac:dyDescent="0.25">
      <c r="A173">
        <v>172</v>
      </c>
      <c r="B173" t="s">
        <v>159</v>
      </c>
      <c r="C173" t="s">
        <v>106</v>
      </c>
      <c r="D173" s="10">
        <v>-5.4860070681937102E-7</v>
      </c>
      <c r="E173" s="10">
        <v>-2.3228115710736302E-6</v>
      </c>
      <c r="F173" s="10">
        <v>1.2256101574348799E-6</v>
      </c>
      <c r="G173">
        <v>1120.23078624202</v>
      </c>
      <c r="H173">
        <v>1221.4643968615401</v>
      </c>
      <c r="I173" t="s">
        <v>103</v>
      </c>
      <c r="J173" t="s">
        <v>95</v>
      </c>
      <c r="K173" t="s">
        <v>13</v>
      </c>
      <c r="L173" t="str">
        <f t="shared" si="2"/>
        <v>0.00[0.00,0.00]</v>
      </c>
    </row>
    <row r="174" spans="1:12" x14ac:dyDescent="0.25">
      <c r="A174">
        <v>173</v>
      </c>
      <c r="B174" t="s">
        <v>52</v>
      </c>
      <c r="C174" t="s">
        <v>27</v>
      </c>
      <c r="D174">
        <v>0.133622686315815</v>
      </c>
      <c r="E174">
        <v>-9.6817885065016193E-2</v>
      </c>
      <c r="F174">
        <v>0.36406325769664599</v>
      </c>
      <c r="G174">
        <v>1120.23078624202</v>
      </c>
      <c r="H174">
        <v>1221.4643968615401</v>
      </c>
      <c r="I174" t="s">
        <v>103</v>
      </c>
      <c r="J174" t="s">
        <v>95</v>
      </c>
      <c r="K174" t="s">
        <v>13</v>
      </c>
      <c r="L174" t="str">
        <f t="shared" si="2"/>
        <v>0.13[-0.10,0.36]</v>
      </c>
    </row>
    <row r="175" spans="1:12" x14ac:dyDescent="0.25">
      <c r="A175">
        <v>174</v>
      </c>
      <c r="B175" t="s">
        <v>148</v>
      </c>
      <c r="C175" t="s">
        <v>107</v>
      </c>
      <c r="D175">
        <v>-26.325779499517701</v>
      </c>
      <c r="E175">
        <v>-140.37966498910399</v>
      </c>
      <c r="F175">
        <v>87.728105990068698</v>
      </c>
      <c r="G175">
        <v>1120.23078624202</v>
      </c>
      <c r="H175">
        <v>1221.4643968615401</v>
      </c>
      <c r="I175" t="s">
        <v>103</v>
      </c>
      <c r="J175" t="s">
        <v>95</v>
      </c>
      <c r="K175" t="s">
        <v>13</v>
      </c>
      <c r="L175" t="str">
        <f t="shared" si="2"/>
        <v>-26.33[-140.38,87.73]</v>
      </c>
    </row>
    <row r="176" spans="1:12" x14ac:dyDescent="0.25">
      <c r="A176">
        <v>175</v>
      </c>
      <c r="B176" t="s">
        <v>99</v>
      </c>
      <c r="C176" t="s">
        <v>98</v>
      </c>
      <c r="D176">
        <v>-0.387150528524487</v>
      </c>
      <c r="E176">
        <v>-1.1751630942272999</v>
      </c>
      <c r="F176">
        <v>0.40086203717832702</v>
      </c>
      <c r="G176">
        <v>1120.23078624202</v>
      </c>
      <c r="H176">
        <v>1221.4643968615401</v>
      </c>
      <c r="I176" t="s">
        <v>103</v>
      </c>
      <c r="J176" t="s">
        <v>95</v>
      </c>
      <c r="K176" t="s">
        <v>13</v>
      </c>
      <c r="L176" t="str">
        <f t="shared" si="2"/>
        <v>-0.39[-1.18,0.40]</v>
      </c>
    </row>
    <row r="177" spans="1:12" x14ac:dyDescent="0.25">
      <c r="A177">
        <v>176</v>
      </c>
      <c r="B177" t="s">
        <v>161</v>
      </c>
      <c r="C177" t="s">
        <v>108</v>
      </c>
      <c r="D177">
        <v>-5.2909612148706299E-2</v>
      </c>
      <c r="E177">
        <v>-0.179994667670102</v>
      </c>
      <c r="F177">
        <v>7.41754433726899E-2</v>
      </c>
      <c r="G177">
        <v>1120.23078624202</v>
      </c>
      <c r="H177">
        <v>1221.4643968615401</v>
      </c>
      <c r="I177" t="s">
        <v>103</v>
      </c>
      <c r="J177" t="s">
        <v>95</v>
      </c>
      <c r="K177" t="s">
        <v>13</v>
      </c>
      <c r="L177" t="str">
        <f t="shared" si="2"/>
        <v>-0.05[-0.18,0.07]</v>
      </c>
    </row>
    <row r="178" spans="1:12" x14ac:dyDescent="0.25">
      <c r="A178">
        <v>177</v>
      </c>
      <c r="B178" t="s">
        <v>147</v>
      </c>
      <c r="C178" t="s">
        <v>109</v>
      </c>
      <c r="D178">
        <v>-18.692664859302099</v>
      </c>
      <c r="E178">
        <v>-54.5068382542254</v>
      </c>
      <c r="F178">
        <v>17.121508535621199</v>
      </c>
      <c r="G178">
        <v>1120.23078624202</v>
      </c>
      <c r="H178">
        <v>1221.4643968615401</v>
      </c>
      <c r="I178" t="s">
        <v>103</v>
      </c>
      <c r="J178" t="s">
        <v>95</v>
      </c>
      <c r="K178" t="s">
        <v>13</v>
      </c>
      <c r="L178" t="str">
        <f t="shared" si="2"/>
        <v>-18.69[-54.51,17.12]</v>
      </c>
    </row>
    <row r="179" spans="1:12" x14ac:dyDescent="0.25">
      <c r="A179">
        <v>178</v>
      </c>
      <c r="B179" t="s">
        <v>162</v>
      </c>
      <c r="C179" t="s">
        <v>110</v>
      </c>
      <c r="D179">
        <v>-1.41803671466652</v>
      </c>
      <c r="E179">
        <v>-3.3598416878057802</v>
      </c>
      <c r="F179">
        <v>0.523768258472738</v>
      </c>
      <c r="G179">
        <v>1120.23078624202</v>
      </c>
      <c r="H179">
        <v>1221.4643968615401</v>
      </c>
      <c r="I179" t="s">
        <v>103</v>
      </c>
      <c r="J179" t="s">
        <v>95</v>
      </c>
      <c r="K179" t="s">
        <v>13</v>
      </c>
      <c r="L179" t="str">
        <f t="shared" si="2"/>
        <v>-1.42[-3.36,0.52]</v>
      </c>
    </row>
    <row r="180" spans="1:12" x14ac:dyDescent="0.25">
      <c r="A180">
        <v>179</v>
      </c>
      <c r="B180" t="s">
        <v>55</v>
      </c>
      <c r="C180" t="s">
        <v>30</v>
      </c>
      <c r="D180">
        <v>20.795828772495199</v>
      </c>
      <c r="E180">
        <v>4.2776532831113601</v>
      </c>
      <c r="F180">
        <v>37.314004261878999</v>
      </c>
      <c r="G180">
        <v>1120.23078624202</v>
      </c>
      <c r="H180">
        <v>1221.4643968615401</v>
      </c>
      <c r="I180" t="s">
        <v>103</v>
      </c>
      <c r="J180" t="s">
        <v>95</v>
      </c>
      <c r="K180" t="s">
        <v>13</v>
      </c>
      <c r="L180" t="str">
        <f t="shared" si="2"/>
        <v>20.80[4.28,37.31]</v>
      </c>
    </row>
    <row r="181" spans="1:12" x14ac:dyDescent="0.25">
      <c r="A181">
        <v>180</v>
      </c>
      <c r="B181" t="s">
        <v>57</v>
      </c>
      <c r="C181" t="s">
        <v>32</v>
      </c>
      <c r="D181">
        <v>4.6848102284925301E-2</v>
      </c>
      <c r="E181">
        <v>-4.9444226341518998E-3</v>
      </c>
      <c r="F181">
        <v>9.8640627204002504E-2</v>
      </c>
      <c r="G181">
        <v>1120.23078624202</v>
      </c>
      <c r="H181">
        <v>1221.4643968615401</v>
      </c>
      <c r="I181" t="s">
        <v>103</v>
      </c>
      <c r="J181" t="s">
        <v>95</v>
      </c>
      <c r="K181" t="s">
        <v>13</v>
      </c>
      <c r="L181" t="str">
        <f t="shared" si="2"/>
        <v>0.05[0.00,0.10]</v>
      </c>
    </row>
    <row r="182" spans="1:12" x14ac:dyDescent="0.25">
      <c r="A182">
        <v>181</v>
      </c>
      <c r="B182" t="s">
        <v>61</v>
      </c>
      <c r="C182" t="s">
        <v>36</v>
      </c>
      <c r="D182">
        <v>3.3837029239768099E-2</v>
      </c>
      <c r="E182">
        <v>9.8870264044738105E-3</v>
      </c>
      <c r="F182">
        <v>5.77870320750625E-2</v>
      </c>
      <c r="G182">
        <v>1120.23078624202</v>
      </c>
      <c r="H182">
        <v>1221.4643968615401</v>
      </c>
      <c r="I182" t="s">
        <v>103</v>
      </c>
      <c r="J182" t="s">
        <v>95</v>
      </c>
      <c r="K182" t="s">
        <v>13</v>
      </c>
      <c r="L182" t="str">
        <f t="shared" si="2"/>
        <v>0.03[0.01,0.06]</v>
      </c>
    </row>
    <row r="183" spans="1:12" x14ac:dyDescent="0.25">
      <c r="A183">
        <v>182</v>
      </c>
      <c r="B183" t="s">
        <v>100</v>
      </c>
      <c r="C183" t="s">
        <v>96</v>
      </c>
      <c r="D183" s="10">
        <v>1.7775927958490199E-5</v>
      </c>
      <c r="E183" s="10">
        <v>7.0046989459040204E-6</v>
      </c>
      <c r="F183" s="10">
        <v>2.8547156971076399E-5</v>
      </c>
      <c r="G183">
        <v>1120.23078624202</v>
      </c>
      <c r="H183">
        <v>1221.4643968615401</v>
      </c>
      <c r="I183" t="s">
        <v>103</v>
      </c>
      <c r="J183" t="s">
        <v>95</v>
      </c>
      <c r="K183" t="s">
        <v>13</v>
      </c>
      <c r="L183" t="str">
        <f t="shared" si="2"/>
        <v>0.00[0.00,0.00]</v>
      </c>
    </row>
    <row r="184" spans="1:12" x14ac:dyDescent="0.25">
      <c r="A184">
        <v>183</v>
      </c>
      <c r="B184" t="s">
        <v>45</v>
      </c>
      <c r="C184" t="s">
        <v>20</v>
      </c>
      <c r="D184">
        <v>24.239987724432499</v>
      </c>
      <c r="E184">
        <v>17.357272816635099</v>
      </c>
      <c r="F184">
        <v>31.122702632229899</v>
      </c>
      <c r="G184">
        <v>1120.23078624202</v>
      </c>
      <c r="H184">
        <v>1221.4643968615401</v>
      </c>
      <c r="I184" t="s">
        <v>103</v>
      </c>
      <c r="J184" t="s">
        <v>95</v>
      </c>
      <c r="K184" t="s">
        <v>13</v>
      </c>
      <c r="L184" t="str">
        <f t="shared" si="2"/>
        <v>24.24[17.36,31.12]</v>
      </c>
    </row>
    <row r="185" spans="1:12" x14ac:dyDescent="0.25">
      <c r="A185">
        <v>184</v>
      </c>
      <c r="B185" t="s">
        <v>48</v>
      </c>
      <c r="C185" t="s">
        <v>23</v>
      </c>
      <c r="D185">
        <v>-42.095576880190002</v>
      </c>
      <c r="E185">
        <v>-62.9106040532739</v>
      </c>
      <c r="F185">
        <v>-21.2805497071061</v>
      </c>
      <c r="G185">
        <v>1120.23078624202</v>
      </c>
      <c r="H185">
        <v>1221.4643968615401</v>
      </c>
      <c r="I185" t="s">
        <v>103</v>
      </c>
      <c r="J185" t="s">
        <v>95</v>
      </c>
      <c r="K185" t="s">
        <v>13</v>
      </c>
      <c r="L185" t="str">
        <f t="shared" si="2"/>
        <v>-42.10[-62.91,-21.28]</v>
      </c>
    </row>
    <row r="186" spans="1:12" x14ac:dyDescent="0.25">
      <c r="A186">
        <v>185</v>
      </c>
      <c r="B186" t="s">
        <v>54</v>
      </c>
      <c r="C186" t="s">
        <v>29</v>
      </c>
      <c r="D186">
        <v>0.18719271332284701</v>
      </c>
      <c r="E186">
        <v>9.3742668944514995E-2</v>
      </c>
      <c r="F186">
        <v>0.28064275770117802</v>
      </c>
      <c r="G186">
        <v>1120.23078624202</v>
      </c>
      <c r="H186">
        <v>1221.4643968615401</v>
      </c>
      <c r="I186" t="s">
        <v>103</v>
      </c>
      <c r="J186" t="s">
        <v>95</v>
      </c>
      <c r="K186" t="s">
        <v>13</v>
      </c>
      <c r="L186" t="str">
        <f t="shared" si="2"/>
        <v>0.19[0.09,0.28]</v>
      </c>
    </row>
    <row r="187" spans="1:12" x14ac:dyDescent="0.25">
      <c r="A187">
        <v>186</v>
      </c>
      <c r="B187" t="s">
        <v>160</v>
      </c>
      <c r="C187" t="s">
        <v>156</v>
      </c>
      <c r="D187">
        <v>-0.76273181310342097</v>
      </c>
      <c r="E187">
        <v>-1.6540945570511401</v>
      </c>
      <c r="F187">
        <v>0.128630930844296</v>
      </c>
      <c r="G187">
        <v>1120.23078624202</v>
      </c>
      <c r="H187">
        <v>1221.4643968615401</v>
      </c>
      <c r="I187" t="s">
        <v>103</v>
      </c>
      <c r="J187" t="s">
        <v>95</v>
      </c>
      <c r="K187" t="s">
        <v>13</v>
      </c>
      <c r="L187" t="str">
        <f t="shared" si="2"/>
        <v>-0.76[-1.65,0.13]</v>
      </c>
    </row>
    <row r="188" spans="1:12" x14ac:dyDescent="0.25">
      <c r="A188">
        <v>187</v>
      </c>
      <c r="B188" t="s">
        <v>58</v>
      </c>
      <c r="C188" t="s">
        <v>33</v>
      </c>
      <c r="D188">
        <v>-0.92918734895917399</v>
      </c>
      <c r="E188">
        <v>-1.66174944258233</v>
      </c>
      <c r="F188">
        <v>-0.19662525533602301</v>
      </c>
      <c r="G188">
        <v>1120.23078624202</v>
      </c>
      <c r="H188">
        <v>1221.4643968615401</v>
      </c>
      <c r="I188" t="s">
        <v>103</v>
      </c>
      <c r="J188" t="s">
        <v>95</v>
      </c>
      <c r="K188" t="s">
        <v>13</v>
      </c>
      <c r="L188" t="str">
        <f t="shared" si="2"/>
        <v>-0.93[-1.66,-0.20]</v>
      </c>
    </row>
    <row r="189" spans="1:12" x14ac:dyDescent="0.25">
      <c r="A189">
        <v>188</v>
      </c>
      <c r="B189" t="s">
        <v>59</v>
      </c>
      <c r="C189" t="s">
        <v>34</v>
      </c>
      <c r="D189">
        <v>0.89337597537923796</v>
      </c>
      <c r="E189">
        <v>0.274788316274022</v>
      </c>
      <c r="F189">
        <v>1.51196363448445</v>
      </c>
      <c r="G189">
        <v>1120.23078624202</v>
      </c>
      <c r="H189">
        <v>1221.4643968615401</v>
      </c>
      <c r="I189" t="s">
        <v>103</v>
      </c>
      <c r="J189" t="s">
        <v>95</v>
      </c>
      <c r="K189" t="s">
        <v>13</v>
      </c>
      <c r="L189" t="str">
        <f t="shared" si="2"/>
        <v>0.89[0.27,1.51]</v>
      </c>
    </row>
    <row r="190" spans="1:12" x14ac:dyDescent="0.25">
      <c r="A190">
        <v>189</v>
      </c>
      <c r="B190">
        <v>1</v>
      </c>
      <c r="C190" t="s">
        <v>10</v>
      </c>
      <c r="D190">
        <v>11.9527890456664</v>
      </c>
      <c r="E190">
        <v>10.252441725827</v>
      </c>
      <c r="F190">
        <v>13.6531363655057</v>
      </c>
      <c r="G190">
        <v>243.41051912117501</v>
      </c>
      <c r="H190">
        <v>318.39837883934001</v>
      </c>
      <c r="I190" t="s">
        <v>102</v>
      </c>
      <c r="J190" t="s">
        <v>95</v>
      </c>
      <c r="K190" t="s">
        <v>87</v>
      </c>
      <c r="L190" t="str">
        <f t="shared" si="2"/>
        <v>11.95[10.25,13.65]</v>
      </c>
    </row>
    <row r="191" spans="1:12" x14ac:dyDescent="0.25">
      <c r="A191">
        <v>190</v>
      </c>
      <c r="B191">
        <v>2</v>
      </c>
      <c r="C191" t="s">
        <v>14</v>
      </c>
      <c r="D191" s="10">
        <v>5.9151157137643802E-5</v>
      </c>
      <c r="E191" s="10">
        <v>2.6211722253840201E-5</v>
      </c>
      <c r="F191" s="10">
        <v>9.2090592021447403E-5</v>
      </c>
      <c r="G191">
        <v>243.41051912117501</v>
      </c>
      <c r="H191">
        <v>318.39837883934001</v>
      </c>
      <c r="I191" t="s">
        <v>102</v>
      </c>
      <c r="J191" t="s">
        <v>95</v>
      </c>
      <c r="K191" t="s">
        <v>87</v>
      </c>
      <c r="L191" t="str">
        <f t="shared" si="2"/>
        <v>0.00[0.00,0.00]</v>
      </c>
    </row>
    <row r="192" spans="1:12" x14ac:dyDescent="0.25">
      <c r="A192">
        <v>191</v>
      </c>
      <c r="B192">
        <v>3</v>
      </c>
      <c r="C192" t="s">
        <v>89</v>
      </c>
      <c r="D192">
        <v>-0.120582180487441</v>
      </c>
      <c r="E192">
        <v>-0.152831955848754</v>
      </c>
      <c r="F192">
        <v>-8.8332405126127805E-2</v>
      </c>
      <c r="G192">
        <v>243.41051912117501</v>
      </c>
      <c r="H192">
        <v>318.39837883934001</v>
      </c>
      <c r="I192" t="s">
        <v>102</v>
      </c>
      <c r="J192" t="s">
        <v>95</v>
      </c>
      <c r="K192" t="s">
        <v>87</v>
      </c>
      <c r="L192" t="str">
        <f t="shared" si="2"/>
        <v>-0.12[-0.15,-0.09]</v>
      </c>
    </row>
    <row r="193" spans="1:12" x14ac:dyDescent="0.25">
      <c r="A193">
        <v>192</v>
      </c>
      <c r="B193">
        <v>4</v>
      </c>
      <c r="C193" t="s">
        <v>15</v>
      </c>
      <c r="D193">
        <v>-5.9381214990272904</v>
      </c>
      <c r="E193">
        <v>-7.8741994620031202</v>
      </c>
      <c r="F193">
        <v>-4.0020435360514499</v>
      </c>
      <c r="G193">
        <v>243.41051912117501</v>
      </c>
      <c r="H193">
        <v>318.39837883934001</v>
      </c>
      <c r="I193" t="s">
        <v>102</v>
      </c>
      <c r="J193" t="s">
        <v>95</v>
      </c>
      <c r="K193" t="s">
        <v>87</v>
      </c>
      <c r="L193" t="str">
        <f t="shared" si="2"/>
        <v>-5.94[-7.87,-4.00]</v>
      </c>
    </row>
    <row r="194" spans="1:12" x14ac:dyDescent="0.25">
      <c r="A194">
        <v>193</v>
      </c>
      <c r="B194">
        <v>5</v>
      </c>
      <c r="C194" t="s">
        <v>17</v>
      </c>
      <c r="D194">
        <v>2.2418951310654101</v>
      </c>
      <c r="E194">
        <v>0.985105096296234</v>
      </c>
      <c r="F194">
        <v>3.4986851658345901</v>
      </c>
      <c r="G194">
        <v>243.41051912117501</v>
      </c>
      <c r="H194">
        <v>318.39837883934001</v>
      </c>
      <c r="I194" t="s">
        <v>102</v>
      </c>
      <c r="J194" t="s">
        <v>95</v>
      </c>
      <c r="K194" t="s">
        <v>87</v>
      </c>
      <c r="L194" t="str">
        <f t="shared" si="2"/>
        <v>2.24[0.99,3.50]</v>
      </c>
    </row>
    <row r="195" spans="1:12" x14ac:dyDescent="0.25">
      <c r="A195">
        <v>194</v>
      </c>
      <c r="B195">
        <v>6</v>
      </c>
      <c r="C195" t="s">
        <v>19</v>
      </c>
      <c r="D195">
        <v>2.46098098697906</v>
      </c>
      <c r="E195">
        <v>1.86352409392414</v>
      </c>
      <c r="F195">
        <v>3.0584378800339702</v>
      </c>
      <c r="G195">
        <v>243.41051912117501</v>
      </c>
      <c r="H195">
        <v>318.39837883934001</v>
      </c>
      <c r="I195" t="s">
        <v>102</v>
      </c>
      <c r="J195" t="s">
        <v>95</v>
      </c>
      <c r="K195" t="s">
        <v>87</v>
      </c>
      <c r="L195" t="str">
        <f t="shared" ref="L195:L258" si="3">TEXT(ROUND(D195,2),"0.00") &amp; "[" &amp; TEXT(ROUND(E195,2),"0.00") &amp; "," &amp; TEXT(ROUND(F195,2),"0.00") &amp; "]"</f>
        <v>2.46[1.86,3.06]</v>
      </c>
    </row>
    <row r="196" spans="1:12" x14ac:dyDescent="0.25">
      <c r="A196">
        <v>195</v>
      </c>
      <c r="B196">
        <v>7</v>
      </c>
      <c r="C196" t="s">
        <v>105</v>
      </c>
      <c r="D196">
        <v>-0.192684267074825</v>
      </c>
      <c r="E196">
        <v>-0.24076504632603299</v>
      </c>
      <c r="F196">
        <v>-0.14460348782361601</v>
      </c>
      <c r="G196">
        <v>243.41051912117501</v>
      </c>
      <c r="H196">
        <v>318.39837883934001</v>
      </c>
      <c r="I196" t="s">
        <v>102</v>
      </c>
      <c r="J196" t="s">
        <v>95</v>
      </c>
      <c r="K196" t="s">
        <v>87</v>
      </c>
      <c r="L196" t="str">
        <f t="shared" si="3"/>
        <v>-0.19[-0.24,-0.14]</v>
      </c>
    </row>
    <row r="197" spans="1:12" x14ac:dyDescent="0.25">
      <c r="A197">
        <v>196</v>
      </c>
      <c r="B197">
        <v>8</v>
      </c>
      <c r="C197" t="s">
        <v>27</v>
      </c>
      <c r="D197">
        <v>0.18292887418277701</v>
      </c>
      <c r="E197">
        <v>0.132969686631874</v>
      </c>
      <c r="F197">
        <v>0.23288806173368001</v>
      </c>
      <c r="G197">
        <v>243.41051912117501</v>
      </c>
      <c r="H197">
        <v>318.39837883934001</v>
      </c>
      <c r="I197" t="s">
        <v>102</v>
      </c>
      <c r="J197" t="s">
        <v>95</v>
      </c>
      <c r="K197" t="s">
        <v>87</v>
      </c>
      <c r="L197" t="str">
        <f t="shared" si="3"/>
        <v>0.18[0.13,0.23]</v>
      </c>
    </row>
    <row r="198" spans="1:12" x14ac:dyDescent="0.25">
      <c r="A198">
        <v>197</v>
      </c>
      <c r="B198">
        <v>9</v>
      </c>
      <c r="C198" t="s">
        <v>107</v>
      </c>
      <c r="D198">
        <v>-73.7872125921932</v>
      </c>
      <c r="E198">
        <v>-97.470166474984396</v>
      </c>
      <c r="F198">
        <v>-50.104258709402004</v>
      </c>
      <c r="G198">
        <v>243.41051912117501</v>
      </c>
      <c r="H198">
        <v>318.39837883934001</v>
      </c>
      <c r="I198" t="s">
        <v>102</v>
      </c>
      <c r="J198" t="s">
        <v>95</v>
      </c>
      <c r="K198" t="s">
        <v>87</v>
      </c>
      <c r="L198" t="str">
        <f t="shared" si="3"/>
        <v>-73.79[-97.47,-50.10]</v>
      </c>
    </row>
    <row r="199" spans="1:12" x14ac:dyDescent="0.25">
      <c r="A199">
        <v>198</v>
      </c>
      <c r="B199">
        <v>10</v>
      </c>
      <c r="C199" t="s">
        <v>98</v>
      </c>
      <c r="D199">
        <v>-0.53825086661202604</v>
      </c>
      <c r="E199">
        <v>-0.70605615846576697</v>
      </c>
      <c r="F199">
        <v>-0.37044557475828599</v>
      </c>
      <c r="G199">
        <v>243.41051912117501</v>
      </c>
      <c r="H199">
        <v>318.39837883934001</v>
      </c>
      <c r="I199" t="s">
        <v>102</v>
      </c>
      <c r="J199" t="s">
        <v>95</v>
      </c>
      <c r="K199" t="s">
        <v>87</v>
      </c>
      <c r="L199" t="str">
        <f t="shared" si="3"/>
        <v>-0.54[-0.71,-0.37]</v>
      </c>
    </row>
    <row r="200" spans="1:12" x14ac:dyDescent="0.25">
      <c r="A200">
        <v>199</v>
      </c>
      <c r="B200">
        <v>11</v>
      </c>
      <c r="C200" t="s">
        <v>108</v>
      </c>
      <c r="D200">
        <v>-2.44214437029305E-2</v>
      </c>
      <c r="E200">
        <v>-5.0167143998045997E-2</v>
      </c>
      <c r="F200">
        <v>1.3242565921850801E-3</v>
      </c>
      <c r="G200">
        <v>243.41051912117501</v>
      </c>
      <c r="H200">
        <v>318.39837883934001</v>
      </c>
      <c r="I200" t="s">
        <v>102</v>
      </c>
      <c r="J200" t="s">
        <v>95</v>
      </c>
      <c r="K200" t="s">
        <v>87</v>
      </c>
      <c r="L200" t="str">
        <f t="shared" si="3"/>
        <v>-0.02[-0.05,0.00]</v>
      </c>
    </row>
    <row r="201" spans="1:12" x14ac:dyDescent="0.25">
      <c r="A201">
        <v>200</v>
      </c>
      <c r="B201">
        <v>12</v>
      </c>
      <c r="C201" t="s">
        <v>20</v>
      </c>
      <c r="D201">
        <v>0.63624139236090904</v>
      </c>
      <c r="E201">
        <v>-0.84858567099767901</v>
      </c>
      <c r="F201">
        <v>2.1210684557195001</v>
      </c>
      <c r="G201">
        <v>243.41051912117501</v>
      </c>
      <c r="H201">
        <v>318.39837883934001</v>
      </c>
      <c r="I201" t="s">
        <v>102</v>
      </c>
      <c r="J201" t="s">
        <v>95</v>
      </c>
      <c r="K201" t="s">
        <v>87</v>
      </c>
      <c r="L201" t="str">
        <f t="shared" si="3"/>
        <v>0.64[-0.85,2.12]</v>
      </c>
    </row>
    <row r="202" spans="1:12" x14ac:dyDescent="0.25">
      <c r="A202">
        <v>201</v>
      </c>
      <c r="B202">
        <v>13</v>
      </c>
      <c r="C202" t="s">
        <v>23</v>
      </c>
      <c r="D202">
        <v>-0.216174154857426</v>
      </c>
      <c r="E202">
        <v>-4.47545909215125</v>
      </c>
      <c r="F202">
        <v>4.0431107824363997</v>
      </c>
      <c r="G202">
        <v>243.41051912117501</v>
      </c>
      <c r="H202">
        <v>318.39837883934001</v>
      </c>
      <c r="I202" t="s">
        <v>102</v>
      </c>
      <c r="J202" t="s">
        <v>95</v>
      </c>
      <c r="K202" t="s">
        <v>87</v>
      </c>
      <c r="L202" t="str">
        <f t="shared" si="3"/>
        <v>-0.22[-4.48,4.04]</v>
      </c>
    </row>
    <row r="203" spans="1:12" x14ac:dyDescent="0.25">
      <c r="A203">
        <v>202</v>
      </c>
      <c r="B203">
        <v>14</v>
      </c>
      <c r="C203" t="s">
        <v>97</v>
      </c>
      <c r="D203">
        <v>-1.39841199613287E-3</v>
      </c>
      <c r="E203">
        <v>-2.67385958522937E-3</v>
      </c>
      <c r="F203">
        <v>-1.2296440703636E-4</v>
      </c>
      <c r="G203">
        <v>243.41051912117501</v>
      </c>
      <c r="H203">
        <v>318.39837883934001</v>
      </c>
      <c r="I203" t="s">
        <v>102</v>
      </c>
      <c r="J203" t="s">
        <v>95</v>
      </c>
      <c r="K203" t="s">
        <v>87</v>
      </c>
      <c r="L203" t="str">
        <f t="shared" si="3"/>
        <v>0.00[0.00,0.00]</v>
      </c>
    </row>
    <row r="204" spans="1:12" x14ac:dyDescent="0.25">
      <c r="A204">
        <v>203</v>
      </c>
      <c r="B204">
        <v>15</v>
      </c>
      <c r="C204" t="s">
        <v>29</v>
      </c>
      <c r="D204">
        <v>1.0032317957105101E-2</v>
      </c>
      <c r="E204">
        <v>-1.02227037905864E-2</v>
      </c>
      <c r="F204">
        <v>3.0287339704796599E-2</v>
      </c>
      <c r="G204">
        <v>243.41051912117501</v>
      </c>
      <c r="H204">
        <v>318.39837883934001</v>
      </c>
      <c r="I204" t="s">
        <v>102</v>
      </c>
      <c r="J204" t="s">
        <v>95</v>
      </c>
      <c r="K204" t="s">
        <v>87</v>
      </c>
      <c r="L204" t="str">
        <f t="shared" si="3"/>
        <v>0.01[-0.01,0.03]</v>
      </c>
    </row>
    <row r="205" spans="1:12" x14ac:dyDescent="0.25">
      <c r="A205">
        <v>204</v>
      </c>
      <c r="B205">
        <v>16</v>
      </c>
      <c r="C205" t="s">
        <v>32</v>
      </c>
      <c r="D205">
        <v>-1.5934464125849201E-2</v>
      </c>
      <c r="E205">
        <v>-2.6526166640949998E-2</v>
      </c>
      <c r="F205">
        <v>-5.3427616107482997E-3</v>
      </c>
      <c r="G205">
        <v>243.41051912117501</v>
      </c>
      <c r="H205">
        <v>318.39837883934001</v>
      </c>
      <c r="I205" t="s">
        <v>102</v>
      </c>
      <c r="J205" t="s">
        <v>95</v>
      </c>
      <c r="K205" t="s">
        <v>87</v>
      </c>
      <c r="L205" t="str">
        <f t="shared" si="3"/>
        <v>-0.02[-0.03,-0.01]</v>
      </c>
    </row>
    <row r="206" spans="1:12" x14ac:dyDescent="0.25">
      <c r="A206">
        <v>205</v>
      </c>
      <c r="B206">
        <v>17</v>
      </c>
      <c r="C206" t="s">
        <v>33</v>
      </c>
      <c r="D206">
        <v>-3.7552613511714701E-3</v>
      </c>
      <c r="E206">
        <v>-0.14776512487333099</v>
      </c>
      <c r="F206">
        <v>0.14025460217098801</v>
      </c>
      <c r="G206">
        <v>243.41051912117501</v>
      </c>
      <c r="H206">
        <v>318.39837883934001</v>
      </c>
      <c r="I206" t="s">
        <v>102</v>
      </c>
      <c r="J206" t="s">
        <v>95</v>
      </c>
      <c r="K206" t="s">
        <v>87</v>
      </c>
      <c r="L206" t="str">
        <f t="shared" si="3"/>
        <v>0.00[-0.15,0.14]</v>
      </c>
    </row>
    <row r="207" spans="1:12" x14ac:dyDescent="0.25">
      <c r="A207">
        <v>206</v>
      </c>
      <c r="B207">
        <v>18</v>
      </c>
      <c r="C207" t="s">
        <v>34</v>
      </c>
      <c r="D207">
        <v>8.8030096022904694E-2</v>
      </c>
      <c r="E207">
        <v>-3.5106196758978803E-2</v>
      </c>
      <c r="F207">
        <v>0.211166388804788</v>
      </c>
      <c r="G207">
        <v>243.41051912117501</v>
      </c>
      <c r="H207">
        <v>318.39837883934001</v>
      </c>
      <c r="I207" t="s">
        <v>102</v>
      </c>
      <c r="J207" t="s">
        <v>95</v>
      </c>
      <c r="K207" t="s">
        <v>87</v>
      </c>
      <c r="L207" t="str">
        <f t="shared" si="3"/>
        <v>0.09[-0.04,0.21]</v>
      </c>
    </row>
    <row r="208" spans="1:12" x14ac:dyDescent="0.25">
      <c r="A208">
        <v>207</v>
      </c>
      <c r="B208">
        <v>19</v>
      </c>
      <c r="C208" t="s">
        <v>10</v>
      </c>
      <c r="D208">
        <v>25.617709261477</v>
      </c>
      <c r="E208">
        <v>17.4897057007943</v>
      </c>
      <c r="F208">
        <v>33.745712822159703</v>
      </c>
      <c r="G208">
        <v>1168.7135835117599</v>
      </c>
      <c r="H208">
        <v>1243.70144322992</v>
      </c>
      <c r="I208" t="s">
        <v>103</v>
      </c>
      <c r="J208" t="s">
        <v>95</v>
      </c>
      <c r="K208" t="s">
        <v>87</v>
      </c>
      <c r="L208" t="str">
        <f t="shared" si="3"/>
        <v>25.62[17.49,33.75]</v>
      </c>
    </row>
    <row r="209" spans="1:12" x14ac:dyDescent="0.25">
      <c r="A209">
        <v>208</v>
      </c>
      <c r="B209">
        <v>20</v>
      </c>
      <c r="C209" t="s">
        <v>14</v>
      </c>
      <c r="D209">
        <v>-2.1110786544202001E-4</v>
      </c>
      <c r="E209">
        <v>-3.6969550599743001E-4</v>
      </c>
      <c r="F209" s="10">
        <v>-5.2520224886619897E-5</v>
      </c>
      <c r="G209">
        <v>1168.7135835117599</v>
      </c>
      <c r="H209">
        <v>1243.70144322992</v>
      </c>
      <c r="I209" t="s">
        <v>103</v>
      </c>
      <c r="J209" t="s">
        <v>95</v>
      </c>
      <c r="K209" t="s">
        <v>87</v>
      </c>
      <c r="L209" t="str">
        <f t="shared" si="3"/>
        <v>0.00[0.00,0.00]</v>
      </c>
    </row>
    <row r="210" spans="1:12" x14ac:dyDescent="0.25">
      <c r="A210">
        <v>209</v>
      </c>
      <c r="B210">
        <v>21</v>
      </c>
      <c r="C210" t="s">
        <v>89</v>
      </c>
      <c r="D210">
        <v>0.106992002970655</v>
      </c>
      <c r="E210">
        <v>-4.7418593005681402E-2</v>
      </c>
      <c r="F210">
        <v>0.26140259894699203</v>
      </c>
      <c r="G210">
        <v>1168.7135835117599</v>
      </c>
      <c r="H210">
        <v>1243.70144322992</v>
      </c>
      <c r="I210" t="s">
        <v>103</v>
      </c>
      <c r="J210" t="s">
        <v>95</v>
      </c>
      <c r="K210" t="s">
        <v>87</v>
      </c>
      <c r="L210" t="str">
        <f t="shared" si="3"/>
        <v>0.11[-0.05,0.26]</v>
      </c>
    </row>
    <row r="211" spans="1:12" x14ac:dyDescent="0.25">
      <c r="A211">
        <v>210</v>
      </c>
      <c r="B211">
        <v>22</v>
      </c>
      <c r="C211" t="s">
        <v>15</v>
      </c>
      <c r="D211">
        <v>-9.7974109885111709</v>
      </c>
      <c r="E211">
        <v>-19.0550935303059</v>
      </c>
      <c r="F211">
        <v>-0.53972844671643605</v>
      </c>
      <c r="G211">
        <v>1168.7135835117599</v>
      </c>
      <c r="H211">
        <v>1243.70144322992</v>
      </c>
      <c r="I211" t="s">
        <v>103</v>
      </c>
      <c r="J211" t="s">
        <v>95</v>
      </c>
      <c r="K211" t="s">
        <v>87</v>
      </c>
      <c r="L211" t="str">
        <f t="shared" si="3"/>
        <v>-9.80[-19.06,-0.54]</v>
      </c>
    </row>
    <row r="212" spans="1:12" x14ac:dyDescent="0.25">
      <c r="A212">
        <v>211</v>
      </c>
      <c r="B212">
        <v>23</v>
      </c>
      <c r="C212" t="s">
        <v>17</v>
      </c>
      <c r="D212">
        <v>4.4214446052857301</v>
      </c>
      <c r="E212">
        <v>-1.59381291566839</v>
      </c>
      <c r="F212">
        <v>10.436702126239799</v>
      </c>
      <c r="G212">
        <v>1168.7135835117599</v>
      </c>
      <c r="H212">
        <v>1243.70144322992</v>
      </c>
      <c r="I212" t="s">
        <v>103</v>
      </c>
      <c r="J212" t="s">
        <v>95</v>
      </c>
      <c r="K212" t="s">
        <v>87</v>
      </c>
      <c r="L212" t="str">
        <f t="shared" si="3"/>
        <v>4.42[-1.59,10.44]</v>
      </c>
    </row>
    <row r="213" spans="1:12" x14ac:dyDescent="0.25">
      <c r="A213">
        <v>212</v>
      </c>
      <c r="B213">
        <v>24</v>
      </c>
      <c r="C213" t="s">
        <v>19</v>
      </c>
      <c r="D213">
        <v>23.415806976602202</v>
      </c>
      <c r="E213">
        <v>20.568259668249901</v>
      </c>
      <c r="F213">
        <v>26.263354284954399</v>
      </c>
      <c r="G213">
        <v>1168.7135835117599</v>
      </c>
      <c r="H213">
        <v>1243.70144322992</v>
      </c>
      <c r="I213" t="s">
        <v>103</v>
      </c>
      <c r="J213" t="s">
        <v>95</v>
      </c>
      <c r="K213" t="s">
        <v>87</v>
      </c>
      <c r="L213" t="str">
        <f t="shared" si="3"/>
        <v>23.42[20.57,26.26]</v>
      </c>
    </row>
    <row r="214" spans="1:12" x14ac:dyDescent="0.25">
      <c r="A214">
        <v>213</v>
      </c>
      <c r="B214">
        <v>25</v>
      </c>
      <c r="C214" t="s">
        <v>105</v>
      </c>
      <c r="D214">
        <v>-0.56355593151662897</v>
      </c>
      <c r="E214">
        <v>-0.792917050720225</v>
      </c>
      <c r="F214">
        <v>-0.334194812313032</v>
      </c>
      <c r="G214">
        <v>1168.7135835117599</v>
      </c>
      <c r="H214">
        <v>1243.70144322992</v>
      </c>
      <c r="I214" t="s">
        <v>103</v>
      </c>
      <c r="J214" t="s">
        <v>95</v>
      </c>
      <c r="K214" t="s">
        <v>87</v>
      </c>
      <c r="L214" t="str">
        <f t="shared" si="3"/>
        <v>-0.56[-0.79,-0.33]</v>
      </c>
    </row>
    <row r="215" spans="1:12" x14ac:dyDescent="0.25">
      <c r="A215">
        <v>214</v>
      </c>
      <c r="B215">
        <v>26</v>
      </c>
      <c r="C215" t="s">
        <v>27</v>
      </c>
      <c r="D215">
        <v>0.127961739892859</v>
      </c>
      <c r="E215">
        <v>-0.111515094703405</v>
      </c>
      <c r="F215">
        <v>0.36743857448912198</v>
      </c>
      <c r="G215">
        <v>1168.7135835117599</v>
      </c>
      <c r="H215">
        <v>1243.70144322992</v>
      </c>
      <c r="I215" t="s">
        <v>103</v>
      </c>
      <c r="J215" t="s">
        <v>95</v>
      </c>
      <c r="K215" t="s">
        <v>87</v>
      </c>
      <c r="L215" t="str">
        <f t="shared" si="3"/>
        <v>0.13[-0.11,0.37]</v>
      </c>
    </row>
    <row r="216" spans="1:12" x14ac:dyDescent="0.25">
      <c r="A216">
        <v>215</v>
      </c>
      <c r="B216">
        <v>27</v>
      </c>
      <c r="C216" t="s">
        <v>107</v>
      </c>
      <c r="D216">
        <v>-40.534813350826802</v>
      </c>
      <c r="E216">
        <v>-154.086142017436</v>
      </c>
      <c r="F216">
        <v>73.0165153157822</v>
      </c>
      <c r="G216">
        <v>1168.7135835117599</v>
      </c>
      <c r="H216">
        <v>1243.70144322992</v>
      </c>
      <c r="I216" t="s">
        <v>103</v>
      </c>
      <c r="J216" t="s">
        <v>95</v>
      </c>
      <c r="K216" t="s">
        <v>87</v>
      </c>
      <c r="L216" t="str">
        <f t="shared" si="3"/>
        <v>-40.53[-154.09,73.02]</v>
      </c>
    </row>
    <row r="217" spans="1:12" x14ac:dyDescent="0.25">
      <c r="A217">
        <v>216</v>
      </c>
      <c r="B217">
        <v>28</v>
      </c>
      <c r="C217" t="s">
        <v>98</v>
      </c>
      <c r="D217">
        <v>-0.384544155536796</v>
      </c>
      <c r="E217">
        <v>-1.1862081299898699</v>
      </c>
      <c r="F217">
        <v>0.41711981891627598</v>
      </c>
      <c r="G217">
        <v>1168.7135835117599</v>
      </c>
      <c r="H217">
        <v>1243.70144322992</v>
      </c>
      <c r="I217" t="s">
        <v>103</v>
      </c>
      <c r="J217" t="s">
        <v>95</v>
      </c>
      <c r="K217" t="s">
        <v>87</v>
      </c>
      <c r="L217" t="str">
        <f t="shared" si="3"/>
        <v>-0.38[-1.19,0.42]</v>
      </c>
    </row>
    <row r="218" spans="1:12" x14ac:dyDescent="0.25">
      <c r="A218">
        <v>217</v>
      </c>
      <c r="B218">
        <v>29</v>
      </c>
      <c r="C218" t="s">
        <v>108</v>
      </c>
      <c r="D218">
        <v>2.2095711773182199E-2</v>
      </c>
      <c r="E218">
        <v>-0.100528233431428</v>
      </c>
      <c r="F218">
        <v>0.14471965697779299</v>
      </c>
      <c r="G218">
        <v>1168.7135835117599</v>
      </c>
      <c r="H218">
        <v>1243.70144322992</v>
      </c>
      <c r="I218" t="s">
        <v>103</v>
      </c>
      <c r="J218" t="s">
        <v>95</v>
      </c>
      <c r="K218" t="s">
        <v>87</v>
      </c>
      <c r="L218" t="str">
        <f t="shared" si="3"/>
        <v>0.02[-0.10,0.14]</v>
      </c>
    </row>
    <row r="219" spans="1:12" x14ac:dyDescent="0.25">
      <c r="A219">
        <v>218</v>
      </c>
      <c r="B219">
        <v>30</v>
      </c>
      <c r="C219" t="s">
        <v>20</v>
      </c>
      <c r="D219">
        <v>26.667846814132801</v>
      </c>
      <c r="E219">
        <v>19.526058528903601</v>
      </c>
      <c r="F219">
        <v>33.809635099361998</v>
      </c>
      <c r="G219">
        <v>1168.7135835117599</v>
      </c>
      <c r="H219">
        <v>1243.70144322992</v>
      </c>
      <c r="I219" t="s">
        <v>103</v>
      </c>
      <c r="J219" t="s">
        <v>95</v>
      </c>
      <c r="K219" t="s">
        <v>87</v>
      </c>
      <c r="L219" t="str">
        <f t="shared" si="3"/>
        <v>26.67[19.53,33.81]</v>
      </c>
    </row>
    <row r="220" spans="1:12" x14ac:dyDescent="0.25">
      <c r="A220">
        <v>219</v>
      </c>
      <c r="B220">
        <v>31</v>
      </c>
      <c r="C220" t="s">
        <v>23</v>
      </c>
      <c r="D220">
        <v>-58.043407641612603</v>
      </c>
      <c r="E220">
        <v>-78.425752451626806</v>
      </c>
      <c r="F220">
        <v>-37.6610628315985</v>
      </c>
      <c r="G220">
        <v>1168.7135835117599</v>
      </c>
      <c r="H220">
        <v>1243.70144322992</v>
      </c>
      <c r="I220" t="s">
        <v>103</v>
      </c>
      <c r="J220" t="s">
        <v>95</v>
      </c>
      <c r="K220" t="s">
        <v>87</v>
      </c>
      <c r="L220" t="str">
        <f t="shared" si="3"/>
        <v>-58.04[-78.43,-37.66]</v>
      </c>
    </row>
    <row r="221" spans="1:12" x14ac:dyDescent="0.25">
      <c r="A221">
        <v>220</v>
      </c>
      <c r="B221">
        <v>32</v>
      </c>
      <c r="C221" t="s">
        <v>97</v>
      </c>
      <c r="D221">
        <v>-7.2895804471001602E-3</v>
      </c>
      <c r="E221">
        <v>-1.33743518239381E-2</v>
      </c>
      <c r="F221">
        <v>-1.20480907026218E-3</v>
      </c>
      <c r="G221">
        <v>1168.7135835117599</v>
      </c>
      <c r="H221">
        <v>1243.70144322992</v>
      </c>
      <c r="I221" t="s">
        <v>103</v>
      </c>
      <c r="J221" t="s">
        <v>95</v>
      </c>
      <c r="K221" t="s">
        <v>87</v>
      </c>
      <c r="L221" t="str">
        <f t="shared" si="3"/>
        <v>-0.01[-0.01,0.00]</v>
      </c>
    </row>
    <row r="222" spans="1:12" x14ac:dyDescent="0.25">
      <c r="A222">
        <v>221</v>
      </c>
      <c r="B222">
        <v>33</v>
      </c>
      <c r="C222" t="s">
        <v>29</v>
      </c>
      <c r="D222">
        <v>0.177123359876453</v>
      </c>
      <c r="E222">
        <v>7.8872095168985495E-2</v>
      </c>
      <c r="F222">
        <v>0.27537462458391998</v>
      </c>
      <c r="G222">
        <v>1168.7135835117599</v>
      </c>
      <c r="H222">
        <v>1243.70144322992</v>
      </c>
      <c r="I222" t="s">
        <v>103</v>
      </c>
      <c r="J222" t="s">
        <v>95</v>
      </c>
      <c r="K222" t="s">
        <v>87</v>
      </c>
      <c r="L222" t="str">
        <f t="shared" si="3"/>
        <v>0.18[0.08,0.28]</v>
      </c>
    </row>
    <row r="223" spans="1:12" x14ac:dyDescent="0.25">
      <c r="A223">
        <v>222</v>
      </c>
      <c r="B223">
        <v>34</v>
      </c>
      <c r="C223" t="s">
        <v>32</v>
      </c>
      <c r="D223">
        <v>9.87730513994933E-2</v>
      </c>
      <c r="E223">
        <v>4.7698576588251801E-2</v>
      </c>
      <c r="F223">
        <v>0.14984752621073499</v>
      </c>
      <c r="G223">
        <v>1168.7135835117599</v>
      </c>
      <c r="H223">
        <v>1243.70144322992</v>
      </c>
      <c r="I223" t="s">
        <v>103</v>
      </c>
      <c r="J223" t="s">
        <v>95</v>
      </c>
      <c r="K223" t="s">
        <v>87</v>
      </c>
      <c r="L223" t="str">
        <f t="shared" si="3"/>
        <v>0.10[0.05,0.15]</v>
      </c>
    </row>
    <row r="224" spans="1:12" x14ac:dyDescent="0.25">
      <c r="A224">
        <v>223</v>
      </c>
      <c r="B224">
        <v>35</v>
      </c>
      <c r="C224" t="s">
        <v>33</v>
      </c>
      <c r="D224">
        <v>-1.2331387654838599</v>
      </c>
      <c r="E224">
        <v>-1.92692272743169</v>
      </c>
      <c r="F224">
        <v>-0.53935480353601695</v>
      </c>
      <c r="G224">
        <v>1168.7135835117599</v>
      </c>
      <c r="H224">
        <v>1243.70144322992</v>
      </c>
      <c r="I224" t="s">
        <v>103</v>
      </c>
      <c r="J224" t="s">
        <v>95</v>
      </c>
      <c r="K224" t="s">
        <v>87</v>
      </c>
      <c r="L224" t="str">
        <f t="shared" si="3"/>
        <v>-1.23[-1.93,-0.54]</v>
      </c>
    </row>
    <row r="225" spans="1:12" x14ac:dyDescent="0.25">
      <c r="A225">
        <v>224</v>
      </c>
      <c r="B225">
        <v>36</v>
      </c>
      <c r="C225" t="s">
        <v>34</v>
      </c>
      <c r="D225">
        <v>1.1782691154673399</v>
      </c>
      <c r="E225">
        <v>0.58891028790937805</v>
      </c>
      <c r="F225">
        <v>1.7676279430253099</v>
      </c>
      <c r="G225">
        <v>1168.7135835117599</v>
      </c>
      <c r="H225">
        <v>1243.70144322992</v>
      </c>
      <c r="I225" t="s">
        <v>103</v>
      </c>
      <c r="J225" t="s">
        <v>95</v>
      </c>
      <c r="K225" t="s">
        <v>87</v>
      </c>
      <c r="L225" t="str">
        <f t="shared" si="3"/>
        <v>1.18[0.59,1.77]</v>
      </c>
    </row>
    <row r="226" spans="1:12" x14ac:dyDescent="0.25">
      <c r="L226" t="str">
        <f t="shared" si="3"/>
        <v>0.00[0.00,0.00]</v>
      </c>
    </row>
    <row r="227" spans="1:12" x14ac:dyDescent="0.25">
      <c r="L227" t="str">
        <f t="shared" si="3"/>
        <v>0.00[0.00,0.00]</v>
      </c>
    </row>
    <row r="228" spans="1:12" x14ac:dyDescent="0.25">
      <c r="L228" t="str">
        <f t="shared" si="3"/>
        <v>0.00[0.00,0.00]</v>
      </c>
    </row>
    <row r="229" spans="1:12" x14ac:dyDescent="0.25">
      <c r="L229" t="str">
        <f t="shared" si="3"/>
        <v>0.00[0.00,0.00]</v>
      </c>
    </row>
    <row r="230" spans="1:12" x14ac:dyDescent="0.25">
      <c r="L230" t="str">
        <f t="shared" si="3"/>
        <v>0.00[0.00,0.00]</v>
      </c>
    </row>
    <row r="231" spans="1:12" x14ac:dyDescent="0.25">
      <c r="L231" t="str">
        <f t="shared" si="3"/>
        <v>0.00[0.00,0.00]</v>
      </c>
    </row>
    <row r="232" spans="1:12" x14ac:dyDescent="0.25">
      <c r="L232" t="str">
        <f t="shared" si="3"/>
        <v>0.00[0.00,0.00]</v>
      </c>
    </row>
    <row r="233" spans="1:12" x14ac:dyDescent="0.25">
      <c r="L233" t="str">
        <f t="shared" si="3"/>
        <v>0.00[0.00,0.00]</v>
      </c>
    </row>
    <row r="234" spans="1:12" x14ac:dyDescent="0.25">
      <c r="L234" t="str">
        <f t="shared" si="3"/>
        <v>0.00[0.00,0.00]</v>
      </c>
    </row>
    <row r="235" spans="1:12" x14ac:dyDescent="0.25">
      <c r="L235" t="str">
        <f t="shared" si="3"/>
        <v>0.00[0.00,0.00]</v>
      </c>
    </row>
    <row r="236" spans="1:12" x14ac:dyDescent="0.25">
      <c r="L236" t="str">
        <f t="shared" si="3"/>
        <v>0.00[0.00,0.00]</v>
      </c>
    </row>
    <row r="237" spans="1:12" x14ac:dyDescent="0.25">
      <c r="L237" t="str">
        <f t="shared" si="3"/>
        <v>0.00[0.00,0.00]</v>
      </c>
    </row>
    <row r="238" spans="1:12" x14ac:dyDescent="0.25">
      <c r="L238" t="str">
        <f t="shared" si="3"/>
        <v>0.00[0.00,0.00]</v>
      </c>
    </row>
    <row r="239" spans="1:12" x14ac:dyDescent="0.25">
      <c r="L239" t="str">
        <f t="shared" si="3"/>
        <v>0.00[0.00,0.00]</v>
      </c>
    </row>
    <row r="240" spans="1:12" x14ac:dyDescent="0.25">
      <c r="L240" t="str">
        <f t="shared" si="3"/>
        <v>0.00[0.00,0.00]</v>
      </c>
    </row>
    <row r="241" spans="12:12" x14ac:dyDescent="0.25">
      <c r="L241" t="str">
        <f t="shared" si="3"/>
        <v>0.00[0.00,0.00]</v>
      </c>
    </row>
    <row r="242" spans="12:12" x14ac:dyDescent="0.25">
      <c r="L242" t="str">
        <f t="shared" si="3"/>
        <v>0.00[0.00,0.00]</v>
      </c>
    </row>
    <row r="243" spans="12:12" x14ac:dyDescent="0.25">
      <c r="L243" t="str">
        <f t="shared" si="3"/>
        <v>0.00[0.00,0.00]</v>
      </c>
    </row>
    <row r="244" spans="12:12" x14ac:dyDescent="0.25">
      <c r="L244" t="str">
        <f t="shared" si="3"/>
        <v>0.00[0.00,0.00]</v>
      </c>
    </row>
    <row r="245" spans="12:12" x14ac:dyDescent="0.25">
      <c r="L245" t="str">
        <f t="shared" si="3"/>
        <v>0.00[0.00,0.00]</v>
      </c>
    </row>
    <row r="246" spans="12:12" x14ac:dyDescent="0.25">
      <c r="L246" t="str">
        <f t="shared" si="3"/>
        <v>0.00[0.00,0.00]</v>
      </c>
    </row>
    <row r="247" spans="12:12" x14ac:dyDescent="0.25">
      <c r="L247" t="str">
        <f t="shared" si="3"/>
        <v>0.00[0.00,0.00]</v>
      </c>
    </row>
    <row r="248" spans="12:12" x14ac:dyDescent="0.25">
      <c r="L248" t="str">
        <f t="shared" si="3"/>
        <v>0.00[0.00,0.00]</v>
      </c>
    </row>
    <row r="249" spans="12:12" x14ac:dyDescent="0.25">
      <c r="L249" t="str">
        <f t="shared" si="3"/>
        <v>0.00[0.00,0.00]</v>
      </c>
    </row>
    <row r="250" spans="12:12" x14ac:dyDescent="0.25">
      <c r="L250" t="str">
        <f t="shared" si="3"/>
        <v>0.00[0.00,0.00]</v>
      </c>
    </row>
    <row r="251" spans="12:12" x14ac:dyDescent="0.25">
      <c r="L251" t="str">
        <f t="shared" si="3"/>
        <v>0.00[0.00,0.00]</v>
      </c>
    </row>
    <row r="252" spans="12:12" x14ac:dyDescent="0.25">
      <c r="L252" t="str">
        <f t="shared" si="3"/>
        <v>0.00[0.00,0.00]</v>
      </c>
    </row>
    <row r="253" spans="12:12" x14ac:dyDescent="0.25">
      <c r="L253" t="str">
        <f t="shared" si="3"/>
        <v>0.00[0.00,0.00]</v>
      </c>
    </row>
    <row r="254" spans="12:12" x14ac:dyDescent="0.25">
      <c r="L254" t="str">
        <f t="shared" si="3"/>
        <v>0.00[0.00,0.00]</v>
      </c>
    </row>
    <row r="255" spans="12:12" x14ac:dyDescent="0.25">
      <c r="L255" t="str">
        <f t="shared" si="3"/>
        <v>0.00[0.00,0.00]</v>
      </c>
    </row>
    <row r="256" spans="12:12" x14ac:dyDescent="0.25">
      <c r="L256" t="str">
        <f t="shared" si="3"/>
        <v>0.00[0.00,0.00]</v>
      </c>
    </row>
    <row r="257" spans="12:12" x14ac:dyDescent="0.25">
      <c r="L257" t="str">
        <f t="shared" si="3"/>
        <v>0.00[0.00,0.00]</v>
      </c>
    </row>
    <row r="258" spans="12:12" x14ac:dyDescent="0.25">
      <c r="L258" t="str">
        <f t="shared" si="3"/>
        <v>0.00[0.00,0.00]</v>
      </c>
    </row>
    <row r="259" spans="12:12" x14ac:dyDescent="0.25">
      <c r="L259" t="str">
        <f t="shared" ref="L259:L277" si="4">TEXT(ROUND(D259,2),"0.00") &amp; "[" &amp; TEXT(ROUND(E259,2),"0.00") &amp; "," &amp; TEXT(ROUND(F259,2),"0.00") &amp; "]"</f>
        <v>0.00[0.00,0.00]</v>
      </c>
    </row>
    <row r="260" spans="12:12" x14ac:dyDescent="0.25">
      <c r="L260" t="str">
        <f t="shared" si="4"/>
        <v>0.00[0.00,0.00]</v>
      </c>
    </row>
    <row r="261" spans="12:12" x14ac:dyDescent="0.25">
      <c r="L261" t="str">
        <f t="shared" si="4"/>
        <v>0.00[0.00,0.00]</v>
      </c>
    </row>
    <row r="262" spans="12:12" x14ac:dyDescent="0.25">
      <c r="L262" t="str">
        <f t="shared" si="4"/>
        <v>0.00[0.00,0.00]</v>
      </c>
    </row>
    <row r="263" spans="12:12" x14ac:dyDescent="0.25">
      <c r="L263" t="str">
        <f t="shared" si="4"/>
        <v>0.00[0.00,0.00]</v>
      </c>
    </row>
    <row r="264" spans="12:12" x14ac:dyDescent="0.25">
      <c r="L264" t="str">
        <f t="shared" si="4"/>
        <v>0.00[0.00,0.00]</v>
      </c>
    </row>
    <row r="265" spans="12:12" x14ac:dyDescent="0.25">
      <c r="L265" t="str">
        <f t="shared" si="4"/>
        <v>0.00[0.00,0.00]</v>
      </c>
    </row>
    <row r="266" spans="12:12" x14ac:dyDescent="0.25">
      <c r="L266" t="str">
        <f t="shared" si="4"/>
        <v>0.00[0.00,0.00]</v>
      </c>
    </row>
    <row r="267" spans="12:12" x14ac:dyDescent="0.25">
      <c r="L267" t="str">
        <f t="shared" si="4"/>
        <v>0.00[0.00,0.00]</v>
      </c>
    </row>
    <row r="268" spans="12:12" x14ac:dyDescent="0.25">
      <c r="L268" t="str">
        <f t="shared" si="4"/>
        <v>0.00[0.00,0.00]</v>
      </c>
    </row>
    <row r="269" spans="12:12" x14ac:dyDescent="0.25">
      <c r="L269" t="str">
        <f t="shared" si="4"/>
        <v>0.00[0.00,0.00]</v>
      </c>
    </row>
    <row r="270" spans="12:12" x14ac:dyDescent="0.25">
      <c r="L270" t="str">
        <f t="shared" si="4"/>
        <v>0.00[0.00,0.00]</v>
      </c>
    </row>
    <row r="271" spans="12:12" x14ac:dyDescent="0.25">
      <c r="L271" t="str">
        <f t="shared" si="4"/>
        <v>0.00[0.00,0.00]</v>
      </c>
    </row>
    <row r="272" spans="12:12" x14ac:dyDescent="0.25">
      <c r="L272" t="str">
        <f t="shared" si="4"/>
        <v>0.00[0.00,0.00]</v>
      </c>
    </row>
    <row r="273" spans="12:12" x14ac:dyDescent="0.25">
      <c r="L273" t="str">
        <f t="shared" si="4"/>
        <v>0.00[0.00,0.00]</v>
      </c>
    </row>
    <row r="274" spans="12:12" x14ac:dyDescent="0.25">
      <c r="L274" t="str">
        <f t="shared" si="4"/>
        <v>0.00[0.00,0.00]</v>
      </c>
    </row>
    <row r="275" spans="12:12" x14ac:dyDescent="0.25">
      <c r="L275" t="str">
        <f t="shared" si="4"/>
        <v>0.00[0.00,0.00]</v>
      </c>
    </row>
    <row r="276" spans="12:12" x14ac:dyDescent="0.25">
      <c r="L276" t="str">
        <f t="shared" si="4"/>
        <v>0.00[0.00,0.00]</v>
      </c>
    </row>
    <row r="277" spans="12:12" x14ac:dyDescent="0.25">
      <c r="L277" t="str">
        <f t="shared" si="4"/>
        <v>0.00[0.00,0.00]</v>
      </c>
    </row>
  </sheetData>
  <autoFilter ref="A1:R194" xr:uid="{56C14B36-6412-4C5B-A862-4EA8DA2C351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EAF6-17F1-4CA8-8C29-98F2B448235C}">
  <sheetPr>
    <tabColor theme="6" tint="0.79998168889431442"/>
  </sheetPr>
  <dimension ref="A1:J40"/>
  <sheetViews>
    <sheetView topLeftCell="A14" zoomScale="113" workbookViewId="0">
      <selection activeCell="A4" sqref="A4:XFD4"/>
    </sheetView>
  </sheetViews>
  <sheetFormatPr defaultRowHeight="15" x14ac:dyDescent="0.25"/>
  <cols>
    <col min="1" max="1" width="39.140625" bestFit="1" customWidth="1"/>
    <col min="2" max="2" width="47" bestFit="1" customWidth="1"/>
    <col min="3" max="4" width="15.7109375" bestFit="1" customWidth="1"/>
    <col min="5" max="5" width="15.7109375" customWidth="1"/>
    <col min="6" max="7" width="15.7109375" bestFit="1" customWidth="1"/>
    <col min="8" max="8" width="15.7109375" customWidth="1"/>
    <col min="9" max="10" width="15.7109375" bestFit="1" customWidth="1"/>
  </cols>
  <sheetData>
    <row r="1" spans="1:10" x14ac:dyDescent="0.25">
      <c r="A1" t="s">
        <v>102</v>
      </c>
    </row>
    <row r="2" spans="1:10" x14ac:dyDescent="0.25">
      <c r="C2" t="s">
        <v>12</v>
      </c>
      <c r="F2" t="s">
        <v>104</v>
      </c>
      <c r="I2" t="s">
        <v>95</v>
      </c>
    </row>
    <row r="3" spans="1:10" x14ac:dyDescent="0.25">
      <c r="A3" t="s">
        <v>1</v>
      </c>
      <c r="C3" t="s">
        <v>13</v>
      </c>
      <c r="D3" t="s">
        <v>87</v>
      </c>
      <c r="F3" t="s">
        <v>13</v>
      </c>
      <c r="G3" t="s">
        <v>87</v>
      </c>
      <c r="I3" t="s">
        <v>13</v>
      </c>
      <c r="J3" t="s">
        <v>87</v>
      </c>
    </row>
    <row r="4" spans="1:10" s="8" customFormat="1" x14ac:dyDescent="0.25">
      <c r="A4" s="8" t="s">
        <v>14</v>
      </c>
      <c r="B4" s="8" t="s">
        <v>113</v>
      </c>
      <c r="C4" s="8" t="str" cm="1">
        <f t="array" ref="C4">_xlfn.XLOOKUP($A4&amp;C$3&amp;$C$2&amp;$A$1,dropout_results!$C$2:$C$300&amp;dropout_results!$K$2:$K$300&amp;dropout_results!$J$2:$J$300&amp;dropout_results!$I$2:$I$300,dropout_results!$L$2:$L$300,"",0)</f>
        <v>0.00[0.00,0.00]</v>
      </c>
      <c r="D4" s="8" t="str" cm="1">
        <f t="array" ref="D4">_xlfn.XLOOKUP($A4&amp;D$3&amp;$C$2&amp;$A$1,dropout_results!$C$2:$C$300&amp;dropout_results!$K$2:$K$300&amp;dropout_results!$J$2:$J$300&amp;dropout_results!$I$2:$I$300,dropout_results!$L$2:$L$300,"",0)</f>
        <v>0.00[0.00,0.00]</v>
      </c>
      <c r="F4" s="8" t="str" cm="1">
        <f t="array" ref="F4">_xlfn.XLOOKUP($A4&amp;F$3&amp;$F$2&amp;$A$1,dropout_results!$C$2:$C$300&amp;dropout_results!$K$2:$K$300&amp;dropout_results!$J$2:$J$300&amp;dropout_results!$I$2:$I$300,dropout_results!$L$2:$L$300,"",0)</f>
        <v>0.00[0.00,0.00]</v>
      </c>
      <c r="G4" s="8" t="str" cm="1">
        <f t="array" ref="G4">_xlfn.XLOOKUP($A4&amp;G$3&amp;$F$2&amp;$A$1,dropout_results!$C$2:$C$300&amp;dropout_results!$K$2:$K$300&amp;dropout_results!$J$2:$J$300&amp;dropout_results!$I$2:$I$300,dropout_results!$L$2:$L$300,"",0)</f>
        <v>0.00[0.00,0.00]</v>
      </c>
      <c r="I4" s="8" t="str" cm="1">
        <f t="array" ref="I4">_xlfn.XLOOKUP($A4&amp;I$3&amp;$I$2&amp;$A$1,dropout_results!$C$2:$C$300&amp;dropout_results!$K$2:$K$300&amp;dropout_results!$J$2:$J$300&amp;dropout_results!$I$2:$I$300,dropout_results!$L$2:$L$300,"",0)</f>
        <v>0.00[0.00,0.00]</v>
      </c>
      <c r="J4" s="8" t="str" cm="1">
        <f t="array" ref="J4">_xlfn.XLOOKUP($A4&amp;J$3&amp;$I$2&amp;$A$1,dropout_results!$C$2:$C$300&amp;dropout_results!$K$2:$K$300&amp;dropout_results!$J$2:$J$300&amp;dropout_results!$I$2:$I$300,dropout_results!$L$2:$L$300,"",0)</f>
        <v>0.00[0.00,0.00]</v>
      </c>
    </row>
    <row r="5" spans="1:10" x14ac:dyDescent="0.25">
      <c r="A5" t="s">
        <v>15</v>
      </c>
      <c r="B5" t="s">
        <v>114</v>
      </c>
      <c r="C5" s="8" t="str" cm="1">
        <f t="array" ref="C5">_xlfn.XLOOKUP($A5&amp;C$3&amp;$C$2&amp;$A$1,dropout_results!$C$2:$C$300&amp;dropout_results!$K$2:$K$300&amp;dropout_results!$J$2:$J$300&amp;dropout_results!$I$2:$I$300,dropout_results!$L$2:$L$300,"",0)</f>
        <v>-4.93[-10.95,1.09]</v>
      </c>
      <c r="D5" s="8" t="str" cm="1">
        <f t="array" ref="D5">_xlfn.XLOOKUP($A5&amp;D$3&amp;$C$2&amp;$A$1,dropout_results!$C$2:$C$300&amp;dropout_results!$K$2:$K$300&amp;dropout_results!$J$2:$J$300&amp;dropout_results!$I$2:$I$300,dropout_results!$L$2:$L$300,"",0)</f>
        <v>-4.66[-10.72,1.40]</v>
      </c>
      <c r="E5" s="8"/>
      <c r="F5" s="8" t="str" cm="1">
        <f t="array" ref="F5">_xlfn.XLOOKUP($A5&amp;F$3&amp;$F$2&amp;$A$1,dropout_results!$C$2:$C$300&amp;dropout_results!$K$2:$K$300&amp;dropout_results!$J$2:$J$300&amp;dropout_results!$I$2:$I$300,dropout_results!$L$2:$L$300,"",0)</f>
        <v/>
      </c>
      <c r="G5" s="8" t="str" cm="1">
        <f t="array" ref="G5">_xlfn.XLOOKUP($A5&amp;G$3&amp;$F$2&amp;$A$1,dropout_results!$C$2:$C$300&amp;dropout_results!$K$2:$K$300&amp;dropout_results!$J$2:$J$300&amp;dropout_results!$I$2:$I$300,dropout_results!$L$2:$L$300,"",0)</f>
        <v/>
      </c>
      <c r="H5" s="8"/>
      <c r="I5" s="8" t="str" cm="1">
        <f t="array" ref="I5">_xlfn.XLOOKUP($A5&amp;I$3&amp;$I$2&amp;$A$1,dropout_results!$C$2:$C$300&amp;dropout_results!$K$2:$K$300&amp;dropout_results!$J$2:$J$300&amp;dropout_results!$I$2:$I$300,dropout_results!$L$2:$L$300,"",0)</f>
        <v>-1.98[-4.29,0.34]</v>
      </c>
      <c r="J5" s="8" t="str" cm="1">
        <f t="array" ref="J5">_xlfn.XLOOKUP($A5&amp;J$3&amp;$I$2&amp;$A$1,dropout_results!$C$2:$C$300&amp;dropout_results!$K$2:$K$300&amp;dropout_results!$J$2:$J$300&amp;dropout_results!$I$2:$I$300,dropout_results!$L$2:$L$300,"",0)</f>
        <v>-5.94[-7.87,-4.00]</v>
      </c>
    </row>
    <row r="6" spans="1:10" x14ac:dyDescent="0.25">
      <c r="A6" t="s">
        <v>16</v>
      </c>
      <c r="B6" t="s">
        <v>115</v>
      </c>
      <c r="C6" s="8" t="str" cm="1">
        <f t="array" ref="C6">_xlfn.XLOOKUP($A6&amp;C$3&amp;$C$2&amp;$A$1,dropout_results!$C$2:$C$300&amp;dropout_results!$K$2:$K$300&amp;dropout_results!$J$2:$J$300&amp;dropout_results!$I$2:$I$300,dropout_results!$L$2:$L$300,"",0)</f>
        <v>-0.85[-7.09,5.39]</v>
      </c>
      <c r="D6" s="8" t="str" cm="1">
        <f t="array" ref="D6">_xlfn.XLOOKUP($A6&amp;D$3&amp;$C$2&amp;$A$1,dropout_results!$C$2:$C$300&amp;dropout_results!$K$2:$K$300&amp;dropout_results!$J$2:$J$300&amp;dropout_results!$I$2:$I$300,dropout_results!$L$2:$L$300,"",0)</f>
        <v>0.02[-6.35,6.38]</v>
      </c>
      <c r="E6" s="8"/>
      <c r="F6" s="8" t="str" cm="1">
        <f t="array" ref="F6">_xlfn.XLOOKUP($A6&amp;F$3&amp;$F$2&amp;$A$1,dropout_results!$C$2:$C$300&amp;dropout_results!$K$2:$K$300&amp;dropout_results!$J$2:$J$300&amp;dropout_results!$I$2:$I$300,dropout_results!$L$2:$L$300,"",0)</f>
        <v/>
      </c>
      <c r="G6" s="8" t="str" cm="1">
        <f t="array" ref="G6">_xlfn.XLOOKUP($A6&amp;G$3&amp;$F$2&amp;$A$1,dropout_results!$C$2:$C$300&amp;dropout_results!$K$2:$K$300&amp;dropout_results!$J$2:$J$300&amp;dropout_results!$I$2:$I$300,dropout_results!$L$2:$L$300,"",0)</f>
        <v/>
      </c>
      <c r="H6" s="8"/>
      <c r="I6" s="8" t="str" cm="1">
        <f t="array" ref="I6">_xlfn.XLOOKUP($A6&amp;I$3&amp;$I$2&amp;$A$1,dropout_results!$C$2:$C$300&amp;dropout_results!$K$2:$K$300&amp;dropout_results!$J$2:$J$300&amp;dropout_results!$I$2:$I$300,dropout_results!$L$2:$L$300,"",0)</f>
        <v/>
      </c>
      <c r="J6" s="8" t="str" cm="1">
        <f t="array" ref="J6">_xlfn.XLOOKUP($A6&amp;J$3&amp;$I$2&amp;$A$1,dropout_results!$C$2:$C$300&amp;dropout_results!$K$2:$K$300&amp;dropout_results!$J$2:$J$300&amp;dropout_results!$I$2:$I$300,dropout_results!$L$2:$L$300,"",0)</f>
        <v/>
      </c>
    </row>
    <row r="7" spans="1:10" x14ac:dyDescent="0.25">
      <c r="A7" t="s">
        <v>17</v>
      </c>
      <c r="B7" t="s">
        <v>116</v>
      </c>
      <c r="C7" t="str" cm="1">
        <f t="array" ref="C7">_xlfn.XLOOKUP($A7&amp;C$3&amp;$C$2&amp;$A$1,dropout_results!$C$2:$C$300&amp;dropout_results!$K$2:$K$300&amp;dropout_results!$J$2:$J$300&amp;dropout_results!$I$2:$I$300,dropout_results!$L$2:$L$300,"",0)</f>
        <v>3.17[1.67,4.68]</v>
      </c>
      <c r="D7" t="str" cm="1">
        <f t="array" ref="D7">_xlfn.XLOOKUP($A7&amp;D$3&amp;$C$2&amp;$A$1,dropout_results!$C$2:$C$300&amp;dropout_results!$K$2:$K$300&amp;dropout_results!$J$2:$J$300&amp;dropout_results!$I$2:$I$300,dropout_results!$L$2:$L$300,"",0)</f>
        <v>3.53[2.01,5.04]</v>
      </c>
      <c r="F7" t="str" cm="1">
        <f t="array" ref="F7">_xlfn.XLOOKUP($A7&amp;F$3&amp;$F$2&amp;$A$1,dropout_results!$C$2:$C$300&amp;dropout_results!$K$2:$K$300&amp;dropout_results!$J$2:$J$300&amp;dropout_results!$I$2:$I$300,dropout_results!$L$2:$L$300,"",0)</f>
        <v/>
      </c>
      <c r="G7" t="str" cm="1">
        <f t="array" ref="G7">_xlfn.XLOOKUP($A7&amp;G$3&amp;$F$2&amp;$A$1,dropout_results!$C$2:$C$300&amp;dropout_results!$K$2:$K$300&amp;dropout_results!$J$2:$J$300&amp;dropout_results!$I$2:$I$300,dropout_results!$L$2:$L$300,"",0)</f>
        <v/>
      </c>
      <c r="I7" t="str" cm="1">
        <f t="array" ref="I7">_xlfn.XLOOKUP($A7&amp;I$3&amp;$I$2&amp;$A$1,dropout_results!$C$2:$C$300&amp;dropout_results!$K$2:$K$300&amp;dropout_results!$J$2:$J$300&amp;dropout_results!$I$2:$I$300,dropout_results!$L$2:$L$300,"",0)</f>
        <v>2.34[1.13,3.54]</v>
      </c>
      <c r="J7" t="str" cm="1">
        <f t="array" ref="J7">_xlfn.XLOOKUP($A7&amp;J$3&amp;$I$2&amp;$A$1,dropout_results!$C$2:$C$300&amp;dropout_results!$K$2:$K$300&amp;dropout_results!$J$2:$J$300&amp;dropout_results!$I$2:$I$300,dropout_results!$L$2:$L$300,"",0)</f>
        <v>2.24[0.99,3.50]</v>
      </c>
    </row>
    <row r="8" spans="1:10" x14ac:dyDescent="0.25">
      <c r="A8" t="s">
        <v>18</v>
      </c>
      <c r="B8" t="s">
        <v>118</v>
      </c>
      <c r="C8" s="8" t="str" cm="1">
        <f t="array" ref="C8">_xlfn.XLOOKUP($A8&amp;C$3&amp;$C$2&amp;$A$1,dropout_results!$C$2:$C$300&amp;dropout_results!$K$2:$K$300&amp;dropout_results!$J$2:$J$300&amp;dropout_results!$I$2:$I$300,dropout_results!$L$2:$L$300,"",0)</f>
        <v>0.25[-4.75,5.25]</v>
      </c>
      <c r="D8" s="8" t="str" cm="1">
        <f t="array" ref="D8">_xlfn.XLOOKUP($A8&amp;D$3&amp;$C$2&amp;$A$1,dropout_results!$C$2:$C$300&amp;dropout_results!$K$2:$K$300&amp;dropout_results!$J$2:$J$300&amp;dropout_results!$I$2:$I$300,dropout_results!$L$2:$L$300,"",0)</f>
        <v>0.53[-4.43,5.50]</v>
      </c>
      <c r="E8" s="8"/>
      <c r="F8" s="8" t="str" cm="1">
        <f t="array" ref="F8">_xlfn.XLOOKUP($A8&amp;F$3&amp;$F$2&amp;$A$1,dropout_results!$C$2:$C$300&amp;dropout_results!$K$2:$K$300&amp;dropout_results!$J$2:$J$300&amp;dropout_results!$I$2:$I$300,dropout_results!$L$2:$L$300,"",0)</f>
        <v/>
      </c>
      <c r="G8" s="8" t="str" cm="1">
        <f t="array" ref="G8">_xlfn.XLOOKUP($A8&amp;G$3&amp;$F$2&amp;$A$1,dropout_results!$C$2:$C$300&amp;dropout_results!$K$2:$K$300&amp;dropout_results!$J$2:$J$300&amp;dropout_results!$I$2:$I$300,dropout_results!$L$2:$L$300,"",0)</f>
        <v/>
      </c>
      <c r="H8" s="8"/>
      <c r="I8" s="8" t="str" cm="1">
        <f t="array" ref="I8">_xlfn.XLOOKUP($A8&amp;I$3&amp;$I$2&amp;$A$1,dropout_results!$C$2:$C$300&amp;dropout_results!$K$2:$K$300&amp;dropout_results!$J$2:$J$300&amp;dropout_results!$I$2:$I$300,dropout_results!$L$2:$L$300,"",0)</f>
        <v/>
      </c>
      <c r="J8" s="8" t="str" cm="1">
        <f t="array" ref="J8">_xlfn.XLOOKUP($A8&amp;J$3&amp;$I$2&amp;$A$1,dropout_results!$C$2:$C$300&amp;dropout_results!$K$2:$K$300&amp;dropout_results!$J$2:$J$300&amp;dropout_results!$I$2:$I$300,dropout_results!$L$2:$L$300,"",0)</f>
        <v/>
      </c>
    </row>
    <row r="9" spans="1:10" x14ac:dyDescent="0.25">
      <c r="A9" s="5" t="s">
        <v>19</v>
      </c>
      <c r="B9" s="5" t="s">
        <v>117</v>
      </c>
      <c r="C9" s="5" t="str" cm="1">
        <f t="array" ref="C9">_xlfn.XLOOKUP($A9&amp;C$3&amp;$C$2&amp;$A$1,dropout_results!$C$2:$C$300&amp;dropout_results!$K$2:$K$300&amp;dropout_results!$J$2:$J$300&amp;dropout_results!$I$2:$I$300,dropout_results!$L$2:$L$300,"",0)</f>
        <v>2.00[1.24,2.75]</v>
      </c>
      <c r="D9" s="5" t="str" cm="1">
        <f t="array" ref="D9">_xlfn.XLOOKUP($A9&amp;D$3&amp;$C$2&amp;$A$1,dropout_results!$C$2:$C$300&amp;dropout_results!$K$2:$K$300&amp;dropout_results!$J$2:$J$300&amp;dropout_results!$I$2:$I$300,dropout_results!$L$2:$L$300,"",0)</f>
        <v>1.98[1.23,2.73]</v>
      </c>
      <c r="E9" s="5"/>
      <c r="F9" s="5" t="str" cm="1">
        <f t="array" ref="F9">_xlfn.XLOOKUP($A9&amp;F$3&amp;$F$2&amp;$A$1,dropout_results!$C$2:$C$300&amp;dropout_results!$K$2:$K$300&amp;dropout_results!$J$2:$J$300&amp;dropout_results!$I$2:$I$300,dropout_results!$L$2:$L$300,"",0)</f>
        <v>3.57[2.91,4.23]</v>
      </c>
      <c r="G9" s="5" t="str" cm="1">
        <f t="array" ref="G9">_xlfn.XLOOKUP($A9&amp;G$3&amp;$F$2&amp;$A$1,dropout_results!$C$2:$C$300&amp;dropout_results!$K$2:$K$300&amp;dropout_results!$J$2:$J$300&amp;dropout_results!$I$2:$I$300,dropout_results!$L$2:$L$300,"",0)</f>
        <v>3.56[2.90,4.22]</v>
      </c>
      <c r="H9" s="5"/>
      <c r="I9" s="5" t="str" cm="1">
        <f t="array" ref="I9">_xlfn.XLOOKUP($A9&amp;I$3&amp;$I$2&amp;$A$1,dropout_results!$C$2:$C$300&amp;dropout_results!$K$2:$K$300&amp;dropout_results!$J$2:$J$300&amp;dropout_results!$I$2:$I$300,dropout_results!$L$2:$L$300,"",0)</f>
        <v>2.06[1.42,2.70]</v>
      </c>
      <c r="J9" s="5" t="str" cm="1">
        <f t="array" ref="J9">_xlfn.XLOOKUP($A9&amp;J$3&amp;$I$2&amp;$A$1,dropout_results!$C$2:$C$300&amp;dropout_results!$K$2:$K$300&amp;dropout_results!$J$2:$J$300&amp;dropout_results!$I$2:$I$300,dropout_results!$L$2:$L$300,"",0)</f>
        <v>2.46[1.86,3.06]</v>
      </c>
    </row>
    <row r="10" spans="1:10" x14ac:dyDescent="0.25">
      <c r="A10" t="s">
        <v>20</v>
      </c>
      <c r="B10" t="s">
        <v>137</v>
      </c>
      <c r="C10" s="8" t="str" cm="1">
        <f t="array" ref="C10">_xlfn.XLOOKUP($A10&amp;C$3&amp;$C$2&amp;$A$1,dropout_results!$C$2:$C$300&amp;dropout_results!$K$2:$K$300&amp;dropout_results!$J$2:$J$300&amp;dropout_results!$I$2:$I$300,dropout_results!$L$2:$L$300,"",0)</f>
        <v>-0.61[-2.66,1.44]</v>
      </c>
      <c r="D10" s="8" t="str" cm="1">
        <f t="array" ref="D10">_xlfn.XLOOKUP($A10&amp;D$3&amp;$C$2&amp;$A$1,dropout_results!$C$2:$C$300&amp;dropout_results!$K$2:$K$300&amp;dropout_results!$J$2:$J$300&amp;dropout_results!$I$2:$I$300,dropout_results!$L$2:$L$300,"",0)</f>
        <v>-0.42[-2.48,1.65]</v>
      </c>
      <c r="E10" s="8"/>
      <c r="F10" s="8" t="str" cm="1">
        <f t="array" ref="F10">_xlfn.XLOOKUP($A10&amp;F$3&amp;$F$2&amp;$A$1,dropout_results!$C$2:$C$300&amp;dropout_results!$K$2:$K$300&amp;dropout_results!$J$2:$J$300&amp;dropout_results!$I$2:$I$300,dropout_results!$L$2:$L$300,"",0)</f>
        <v>2.39[0.82,3.97]</v>
      </c>
      <c r="G10" s="8" t="str" cm="1">
        <f t="array" ref="G10">_xlfn.XLOOKUP($A10&amp;G$3&amp;$F$2&amp;$A$1,dropout_results!$C$2:$C$300&amp;dropout_results!$K$2:$K$300&amp;dropout_results!$J$2:$J$300&amp;dropout_results!$I$2:$I$300,dropout_results!$L$2:$L$300,"",0)</f>
        <v>2.38[0.79,3.97]</v>
      </c>
      <c r="H10" s="8"/>
      <c r="I10" s="8" t="str" cm="1">
        <f t="array" ref="I10">_xlfn.XLOOKUP($A10&amp;I$3&amp;$I$2&amp;$A$1,dropout_results!$C$2:$C$300&amp;dropout_results!$K$2:$K$300&amp;dropout_results!$J$2:$J$300&amp;dropout_results!$I$2:$I$300,dropout_results!$L$2:$L$300,"",0)</f>
        <v>0.16[-1.25,1.56]</v>
      </c>
      <c r="J10" s="8" t="str" cm="1">
        <f t="array" ref="J10">_xlfn.XLOOKUP($A10&amp;J$3&amp;$I$2&amp;$A$1,dropout_results!$C$2:$C$300&amp;dropout_results!$K$2:$K$300&amp;dropout_results!$J$2:$J$300&amp;dropout_results!$I$2:$I$300,dropout_results!$L$2:$L$300,"",0)</f>
        <v>0.64[-0.85,2.12]</v>
      </c>
    </row>
    <row r="11" spans="1:10" x14ac:dyDescent="0.25">
      <c r="A11" t="s">
        <v>21</v>
      </c>
      <c r="B11" t="s">
        <v>119</v>
      </c>
      <c r="C11" s="8" t="str" cm="1">
        <f t="array" ref="C11">_xlfn.XLOOKUP($A11&amp;C$3&amp;$C$2&amp;$A$1,dropout_results!$C$2:$C$300&amp;dropout_results!$K$2:$K$300&amp;dropout_results!$J$2:$J$300&amp;dropout_results!$I$2:$I$300,dropout_results!$L$2:$L$300,"",0)</f>
        <v>1.41[-2.50,5.32]</v>
      </c>
      <c r="D11" s="8" t="str" cm="1">
        <f t="array" ref="D11">_xlfn.XLOOKUP($A11&amp;D$3&amp;$C$2&amp;$A$1,dropout_results!$C$2:$C$300&amp;dropout_results!$K$2:$K$300&amp;dropout_results!$J$2:$J$300&amp;dropout_results!$I$2:$I$300,dropout_results!$L$2:$L$300,"",0)</f>
        <v>1.22[-2.72,5.16]</v>
      </c>
      <c r="E11" s="8"/>
      <c r="F11" s="8" t="str" cm="1">
        <f t="array" ref="F11">_xlfn.XLOOKUP($A11&amp;F$3&amp;$F$2&amp;$A$1,dropout_results!$C$2:$C$300&amp;dropout_results!$K$2:$K$300&amp;dropout_results!$J$2:$J$300&amp;dropout_results!$I$2:$I$300,dropout_results!$L$2:$L$300,"",0)</f>
        <v/>
      </c>
      <c r="G11" s="8" t="str" cm="1">
        <f t="array" ref="G11">_xlfn.XLOOKUP($A11&amp;G$3&amp;$F$2&amp;$A$1,dropout_results!$C$2:$C$300&amp;dropout_results!$K$2:$K$300&amp;dropout_results!$J$2:$J$300&amp;dropout_results!$I$2:$I$300,dropout_results!$L$2:$L$300,"",0)</f>
        <v/>
      </c>
      <c r="H11" s="8"/>
      <c r="I11" s="8" t="str" cm="1">
        <f t="array" ref="I11">_xlfn.XLOOKUP($A11&amp;I$3&amp;$I$2&amp;$A$1,dropout_results!$C$2:$C$300&amp;dropout_results!$K$2:$K$300&amp;dropout_results!$J$2:$J$300&amp;dropout_results!$I$2:$I$300,dropout_results!$L$2:$L$300,"",0)</f>
        <v/>
      </c>
      <c r="J11" s="8" t="str" cm="1">
        <f t="array" ref="J11">_xlfn.XLOOKUP($A11&amp;J$3&amp;$I$2&amp;$A$1,dropout_results!$C$2:$C$300&amp;dropout_results!$K$2:$K$300&amp;dropout_results!$J$2:$J$300&amp;dropout_results!$I$2:$I$300,dropout_results!$L$2:$L$300,"",0)</f>
        <v/>
      </c>
    </row>
    <row r="12" spans="1:10" x14ac:dyDescent="0.25">
      <c r="A12" t="s">
        <v>22</v>
      </c>
      <c r="B12" t="s">
        <v>120</v>
      </c>
      <c r="C12" s="8" t="str" cm="1">
        <f t="array" ref="C12">_xlfn.XLOOKUP($A12&amp;C$3&amp;$C$2&amp;$A$1,dropout_results!$C$2:$C$300&amp;dropout_results!$K$2:$K$300&amp;dropout_results!$J$2:$J$300&amp;dropout_results!$I$2:$I$300,dropout_results!$L$2:$L$300,"",0)</f>
        <v>0.02[-0.02,0.06]</v>
      </c>
      <c r="D12" s="8" t="str" cm="1">
        <f t="array" ref="D12">_xlfn.XLOOKUP($A12&amp;D$3&amp;$C$2&amp;$A$1,dropout_results!$C$2:$C$300&amp;dropout_results!$K$2:$K$300&amp;dropout_results!$J$2:$J$300&amp;dropout_results!$I$2:$I$300,dropout_results!$L$2:$L$300,"",0)</f>
        <v>0.02[-0.02,0.06]</v>
      </c>
      <c r="E12" s="8"/>
      <c r="F12" s="8" t="str" cm="1">
        <f t="array" ref="F12">_xlfn.XLOOKUP($A12&amp;F$3&amp;$F$2&amp;$A$1,dropout_results!$C$2:$C$300&amp;dropout_results!$K$2:$K$300&amp;dropout_results!$J$2:$J$300&amp;dropout_results!$I$2:$I$300,dropout_results!$L$2:$L$300,"",0)</f>
        <v>0.07[0.04,0.09]</v>
      </c>
      <c r="G12" s="8" t="str" cm="1">
        <f t="array" ref="G12">_xlfn.XLOOKUP($A12&amp;G$3&amp;$F$2&amp;$A$1,dropout_results!$C$2:$C$300&amp;dropout_results!$K$2:$K$300&amp;dropout_results!$J$2:$J$300&amp;dropout_results!$I$2:$I$300,dropout_results!$L$2:$L$300,"",0)</f>
        <v>0.07[0.04,0.09]</v>
      </c>
      <c r="H12" s="8"/>
      <c r="I12" s="8" t="str" cm="1">
        <f t="array" ref="I12">_xlfn.XLOOKUP($A12&amp;I$3&amp;$I$2&amp;$A$1,dropout_results!$C$2:$C$300&amp;dropout_results!$K$2:$K$300&amp;dropout_results!$J$2:$J$300&amp;dropout_results!$I$2:$I$300,dropout_results!$L$2:$L$300,"",0)</f>
        <v/>
      </c>
      <c r="J12" s="8" t="str" cm="1">
        <f t="array" ref="J12">_xlfn.XLOOKUP($A12&amp;J$3&amp;$I$2&amp;$A$1,dropout_results!$C$2:$C$300&amp;dropout_results!$K$2:$K$300&amp;dropout_results!$J$2:$J$300&amp;dropout_results!$I$2:$I$300,dropout_results!$L$2:$L$300,"",0)</f>
        <v/>
      </c>
    </row>
    <row r="13" spans="1:10" x14ac:dyDescent="0.25">
      <c r="A13" t="s">
        <v>23</v>
      </c>
      <c r="B13" t="s">
        <v>121</v>
      </c>
      <c r="C13" s="8" t="str" cm="1">
        <f t="array" ref="C13">_xlfn.XLOOKUP($A13&amp;C$3&amp;$C$2&amp;$A$1,dropout_results!$C$2:$C$300&amp;dropout_results!$K$2:$K$300&amp;dropout_results!$J$2:$J$300&amp;dropout_results!$I$2:$I$300,dropout_results!$L$2:$L$300,"",0)</f>
        <v>-3.79[-7.72,0.14]</v>
      </c>
      <c r="D13" s="8" t="str" cm="1">
        <f t="array" ref="D13">_xlfn.XLOOKUP($A13&amp;D$3&amp;$C$2&amp;$A$1,dropout_results!$C$2:$C$300&amp;dropout_results!$K$2:$K$300&amp;dropout_results!$J$2:$J$300&amp;dropout_results!$I$2:$I$300,dropout_results!$L$2:$L$300,"",0)</f>
        <v>-4.32[-8.34,-0.30]</v>
      </c>
      <c r="E13" s="8"/>
      <c r="F13" s="8" t="str" cm="1">
        <f t="array" ref="F13">_xlfn.XLOOKUP($A13&amp;F$3&amp;$F$2&amp;$A$1,dropout_results!$C$2:$C$300&amp;dropout_results!$K$2:$K$300&amp;dropout_results!$J$2:$J$300&amp;dropout_results!$I$2:$I$300,dropout_results!$L$2:$L$300,"",0)</f>
        <v>8.00[4.49,11.50]</v>
      </c>
      <c r="G13" s="8" t="str" cm="1">
        <f t="array" ref="G13">_xlfn.XLOOKUP($A13&amp;G$3&amp;$F$2&amp;$A$1,dropout_results!$C$2:$C$300&amp;dropout_results!$K$2:$K$300&amp;dropout_results!$J$2:$J$300&amp;dropout_results!$I$2:$I$300,dropout_results!$L$2:$L$300,"",0)</f>
        <v>8.00[4.47,11.52]</v>
      </c>
      <c r="H13" s="8"/>
      <c r="I13" s="8" t="str" cm="1">
        <f t="array" ref="I13">_xlfn.XLOOKUP($A13&amp;I$3&amp;$I$2&amp;$A$1,dropout_results!$C$2:$C$300&amp;dropout_results!$K$2:$K$300&amp;dropout_results!$J$2:$J$300&amp;dropout_results!$I$2:$I$300,dropout_results!$L$2:$L$300,"",0)</f>
        <v>1.65[-2.61,5.90]</v>
      </c>
      <c r="J13" s="8" t="str" cm="1">
        <f t="array" ref="J13">_xlfn.XLOOKUP($A13&amp;J$3&amp;$I$2&amp;$A$1,dropout_results!$C$2:$C$300&amp;dropout_results!$K$2:$K$300&amp;dropout_results!$J$2:$J$300&amp;dropout_results!$I$2:$I$300,dropout_results!$L$2:$L$300,"",0)</f>
        <v>-0.22[-4.48,4.04]</v>
      </c>
    </row>
    <row r="14" spans="1:10" x14ac:dyDescent="0.25">
      <c r="A14" t="s">
        <v>24</v>
      </c>
      <c r="B14" t="s">
        <v>122</v>
      </c>
      <c r="C14" t="str" cm="1">
        <f t="array" ref="C14">_xlfn.XLOOKUP($A14&amp;C$3&amp;$C$2&amp;$A$1,dropout_results!$C$2:$C$300&amp;dropout_results!$K$2:$K$300&amp;dropout_results!$J$2:$J$300&amp;dropout_results!$I$2:$I$300,dropout_results!$L$2:$L$300,"",0)</f>
        <v>8.56[4.86,12.26]</v>
      </c>
      <c r="D14" t="str" cm="1">
        <f t="array" ref="D14">_xlfn.XLOOKUP($A14&amp;D$3&amp;$C$2&amp;$A$1,dropout_results!$C$2:$C$300&amp;dropout_results!$K$2:$K$300&amp;dropout_results!$J$2:$J$300&amp;dropout_results!$I$2:$I$300,dropout_results!$L$2:$L$300,"",0)</f>
        <v>8.01[4.14,11.87]</v>
      </c>
      <c r="F14" t="str" cm="1">
        <f t="array" ref="F14">_xlfn.XLOOKUP($A14&amp;F$3&amp;$F$2&amp;$A$1,dropout_results!$C$2:$C$300&amp;dropout_results!$K$2:$K$300&amp;dropout_results!$J$2:$J$300&amp;dropout_results!$I$2:$I$300,dropout_results!$L$2:$L$300,"",0)</f>
        <v/>
      </c>
      <c r="G14" t="str" cm="1">
        <f t="array" ref="G14">_xlfn.XLOOKUP($A14&amp;G$3&amp;$F$2&amp;$A$1,dropout_results!$C$2:$C$300&amp;dropout_results!$K$2:$K$300&amp;dropout_results!$J$2:$J$300&amp;dropout_results!$I$2:$I$300,dropout_results!$L$2:$L$300,"",0)</f>
        <v/>
      </c>
      <c r="I14" t="str" cm="1">
        <f t="array" ref="I14">_xlfn.XLOOKUP($A14&amp;I$3&amp;$I$2&amp;$A$1,dropout_results!$C$2:$C$300&amp;dropout_results!$K$2:$K$300&amp;dropout_results!$J$2:$J$300&amp;dropout_results!$I$2:$I$300,dropout_results!$L$2:$L$300,"",0)</f>
        <v>6.76[2.43,11.08]</v>
      </c>
      <c r="J14" t="str" cm="1">
        <f t="array" ref="J14">_xlfn.XLOOKUP($A14&amp;J$3&amp;$I$2&amp;$A$1,dropout_results!$C$2:$C$300&amp;dropout_results!$K$2:$K$300&amp;dropout_results!$J$2:$J$300&amp;dropout_results!$I$2:$I$300,dropout_results!$L$2:$L$300,"",0)</f>
        <v/>
      </c>
    </row>
    <row r="15" spans="1:10" x14ac:dyDescent="0.25">
      <c r="A15" t="s">
        <v>25</v>
      </c>
      <c r="B15" t="s">
        <v>123</v>
      </c>
      <c r="C15" s="8" t="str" cm="1">
        <f t="array" ref="C15">_xlfn.XLOOKUP($A15&amp;C$3&amp;$C$2&amp;$A$1,dropout_results!$C$2:$C$300&amp;dropout_results!$K$2:$K$300&amp;dropout_results!$J$2:$J$300&amp;dropout_results!$I$2:$I$300,dropout_results!$L$2:$L$300,"",0)</f>
        <v>0.00[0.00,0.00]</v>
      </c>
      <c r="D15" s="8" t="str" cm="1">
        <f t="array" ref="D15">_xlfn.XLOOKUP($A15&amp;D$3&amp;$C$2&amp;$A$1,dropout_results!$C$2:$C$300&amp;dropout_results!$K$2:$K$300&amp;dropout_results!$J$2:$J$300&amp;dropout_results!$I$2:$I$300,dropout_results!$L$2:$L$300,"",0)</f>
        <v>0.00[0.00,0.00]</v>
      </c>
      <c r="E15" s="8"/>
      <c r="F15" s="8" t="str" cm="1">
        <f t="array" ref="F15">_xlfn.XLOOKUP($A15&amp;F$3&amp;$F$2&amp;$A$1,dropout_results!$C$2:$C$300&amp;dropout_results!$K$2:$K$300&amp;dropout_results!$J$2:$J$300&amp;dropout_results!$I$2:$I$300,dropout_results!$L$2:$L$300,"",0)</f>
        <v/>
      </c>
      <c r="G15" s="8" t="str" cm="1">
        <f t="array" ref="G15">_xlfn.XLOOKUP($A15&amp;G$3&amp;$F$2&amp;$A$1,dropout_results!$C$2:$C$300&amp;dropout_results!$K$2:$K$300&amp;dropout_results!$J$2:$J$300&amp;dropout_results!$I$2:$I$300,dropout_results!$L$2:$L$300,"",0)</f>
        <v/>
      </c>
      <c r="H15" s="8"/>
      <c r="I15" s="8" t="str" cm="1">
        <f t="array" ref="I15">_xlfn.XLOOKUP($A15&amp;I$3&amp;$I$2&amp;$A$1,dropout_results!$C$2:$C$300&amp;dropout_results!$K$2:$K$300&amp;dropout_results!$J$2:$J$300&amp;dropout_results!$I$2:$I$300,dropout_results!$L$2:$L$300,"",0)</f>
        <v/>
      </c>
      <c r="J15" s="8" t="str" cm="1">
        <f t="array" ref="J15">_xlfn.XLOOKUP($A15&amp;J$3&amp;$I$2&amp;$A$1,dropout_results!$C$2:$C$300&amp;dropout_results!$K$2:$K$300&amp;dropout_results!$J$2:$J$300&amp;dropout_results!$I$2:$I$300,dropout_results!$L$2:$L$300,"",0)</f>
        <v/>
      </c>
    </row>
    <row r="16" spans="1:10" x14ac:dyDescent="0.25">
      <c r="A16" t="s">
        <v>26</v>
      </c>
      <c r="B16" t="s">
        <v>119</v>
      </c>
      <c r="C16" s="8" t="str" cm="1">
        <f t="array" ref="C16">_xlfn.XLOOKUP($A16&amp;C$3&amp;$C$2&amp;$A$1,dropout_results!$C$2:$C$300&amp;dropout_results!$K$2:$K$300&amp;dropout_results!$J$2:$J$300&amp;dropout_results!$I$2:$I$300,dropout_results!$L$2:$L$300,"",0)</f>
        <v>0.01[-0.01,0.02]</v>
      </c>
      <c r="D16" s="8" t="str" cm="1">
        <f t="array" ref="D16">_xlfn.XLOOKUP($A16&amp;D$3&amp;$C$2&amp;$A$1,dropout_results!$C$2:$C$300&amp;dropout_results!$K$2:$K$300&amp;dropout_results!$J$2:$J$300&amp;dropout_results!$I$2:$I$300,dropout_results!$L$2:$L$300,"",0)</f>
        <v>0.00[-0.03,0.04]</v>
      </c>
      <c r="E16" s="8"/>
      <c r="F16" s="8" t="str" cm="1">
        <f t="array" ref="F16">_xlfn.XLOOKUP($A16&amp;F$3&amp;$F$2&amp;$A$1,dropout_results!$C$2:$C$300&amp;dropout_results!$K$2:$K$300&amp;dropout_results!$J$2:$J$300&amp;dropout_results!$I$2:$I$300,dropout_results!$L$2:$L$300,"",0)</f>
        <v/>
      </c>
      <c r="G16" s="8" t="str" cm="1">
        <f t="array" ref="G16">_xlfn.XLOOKUP($A16&amp;G$3&amp;$F$2&amp;$A$1,dropout_results!$C$2:$C$300&amp;dropout_results!$K$2:$K$300&amp;dropout_results!$J$2:$J$300&amp;dropout_results!$I$2:$I$300,dropout_results!$L$2:$L$300,"",0)</f>
        <v/>
      </c>
      <c r="H16" s="8"/>
      <c r="I16" s="8" t="str" cm="1">
        <f t="array" ref="I16">_xlfn.XLOOKUP($A16&amp;I$3&amp;$I$2&amp;$A$1,dropout_results!$C$2:$C$300&amp;dropout_results!$K$2:$K$300&amp;dropout_results!$J$2:$J$300&amp;dropout_results!$I$2:$I$300,dropout_results!$L$2:$L$300,"",0)</f>
        <v/>
      </c>
      <c r="J16" s="8" t="str" cm="1">
        <f t="array" ref="J16">_xlfn.XLOOKUP($A16&amp;J$3&amp;$I$2&amp;$A$1,dropout_results!$C$2:$C$300&amp;dropout_results!$K$2:$K$300&amp;dropout_results!$J$2:$J$300&amp;dropout_results!$I$2:$I$300,dropout_results!$L$2:$L$300,"",0)</f>
        <v/>
      </c>
    </row>
    <row r="17" spans="1:10" x14ac:dyDescent="0.25">
      <c r="A17" s="5" t="s">
        <v>27</v>
      </c>
      <c r="B17" s="5" t="s">
        <v>124</v>
      </c>
      <c r="C17" s="5" t="str" cm="1">
        <f t="array" ref="C17">_xlfn.XLOOKUP($A17&amp;C$3&amp;$C$2&amp;$A$1,dropout_results!$C$2:$C$300&amp;dropout_results!$K$2:$K$300&amp;dropout_results!$J$2:$J$300&amp;dropout_results!$I$2:$I$300,dropout_results!$L$2:$L$300,"",0)</f>
        <v>0.03[0.02,0.04]</v>
      </c>
      <c r="D17" s="5" t="str" cm="1">
        <f t="array" ref="D17">_xlfn.XLOOKUP($A17&amp;D$3&amp;$C$2&amp;$A$1,dropout_results!$C$2:$C$300&amp;dropout_results!$K$2:$K$300&amp;dropout_results!$J$2:$J$300&amp;dropout_results!$I$2:$I$300,dropout_results!$L$2:$L$300,"",0)</f>
        <v>0.03[0.02,0.03]</v>
      </c>
      <c r="E17" s="5"/>
      <c r="F17" s="5" t="str" cm="1">
        <f t="array" ref="F17">_xlfn.XLOOKUP($A17&amp;F$3&amp;$F$2&amp;$A$1,dropout_results!$C$2:$C$300&amp;dropout_results!$K$2:$K$300&amp;dropout_results!$J$2:$J$300&amp;dropout_results!$I$2:$I$300,dropout_results!$L$2:$L$300,"",0)</f>
        <v>0.03[0.02,0.04]</v>
      </c>
      <c r="G17" s="5" t="str" cm="1">
        <f t="array" ref="G17">_xlfn.XLOOKUP($A17&amp;G$3&amp;$F$2&amp;$A$1,dropout_results!$C$2:$C$300&amp;dropout_results!$K$2:$K$300&amp;dropout_results!$J$2:$J$300&amp;dropout_results!$I$2:$I$300,dropout_results!$L$2:$L$300,"",0)</f>
        <v>0.03[0.02,0.04]</v>
      </c>
      <c r="H17" s="5"/>
      <c r="I17" s="5" t="str" cm="1">
        <f t="array" ref="I17">_xlfn.XLOOKUP($A17&amp;I$3&amp;$I$2&amp;$A$1,dropout_results!$C$2:$C$300&amp;dropout_results!$K$2:$K$300&amp;dropout_results!$J$2:$J$300&amp;dropout_results!$I$2:$I$300,dropout_results!$L$2:$L$300,"",0)</f>
        <v>0.18[0.14,0.23]</v>
      </c>
      <c r="J17" s="5" t="str" cm="1">
        <f t="array" ref="J17">_xlfn.XLOOKUP($A17&amp;J$3&amp;$I$2&amp;$A$1,dropout_results!$C$2:$C$300&amp;dropout_results!$K$2:$K$300&amp;dropout_results!$J$2:$J$300&amp;dropout_results!$I$2:$I$300,dropout_results!$L$2:$L$300,"",0)</f>
        <v>0.18[0.13,0.23]</v>
      </c>
    </row>
    <row r="18" spans="1:10" x14ac:dyDescent="0.25">
      <c r="A18" t="s">
        <v>28</v>
      </c>
      <c r="B18" t="s">
        <v>125</v>
      </c>
      <c r="C18" s="8" t="str" cm="1">
        <f t="array" ref="C18">_xlfn.XLOOKUP($A18&amp;C$3&amp;$C$2&amp;$A$1,dropout_results!$C$2:$C$300&amp;dropout_results!$K$2:$K$300&amp;dropout_results!$J$2:$J$300&amp;dropout_results!$I$2:$I$300,dropout_results!$L$2:$L$300,"",0)</f>
        <v>0.01[-0.01,0.02]</v>
      </c>
      <c r="D18" s="8" t="str" cm="1">
        <f t="array" ref="D18">_xlfn.XLOOKUP($A18&amp;D$3&amp;$C$2&amp;$A$1,dropout_results!$C$2:$C$300&amp;dropout_results!$K$2:$K$300&amp;dropout_results!$J$2:$J$300&amp;dropout_results!$I$2:$I$300,dropout_results!$L$2:$L$300,"",0)</f>
        <v>0.01[-0.01,0.02]</v>
      </c>
      <c r="E18" s="8"/>
      <c r="F18" s="8" t="str" cm="1">
        <f t="array" ref="F18">_xlfn.XLOOKUP($A18&amp;F$3&amp;$F$2&amp;$A$1,dropout_results!$C$2:$C$300&amp;dropout_results!$K$2:$K$300&amp;dropout_results!$J$2:$J$300&amp;dropout_results!$I$2:$I$300,dropout_results!$L$2:$L$300,"",0)</f>
        <v/>
      </c>
      <c r="G18" s="8" t="str" cm="1">
        <f t="array" ref="G18">_xlfn.XLOOKUP($A18&amp;G$3&amp;$F$2&amp;$A$1,dropout_results!$C$2:$C$300&amp;dropout_results!$K$2:$K$300&amp;dropout_results!$J$2:$J$300&amp;dropout_results!$I$2:$I$300,dropout_results!$L$2:$L$300,"",0)</f>
        <v/>
      </c>
      <c r="H18" s="8"/>
      <c r="I18" s="8" t="str" cm="1">
        <f t="array" ref="I18">_xlfn.XLOOKUP($A18&amp;I$3&amp;$I$2&amp;$A$1,dropout_results!$C$2:$C$300&amp;dropout_results!$K$2:$K$300&amp;dropout_results!$J$2:$J$300&amp;dropout_results!$I$2:$I$300,dropout_results!$L$2:$L$300,"",0)</f>
        <v/>
      </c>
      <c r="J18" s="8" t="str" cm="1">
        <f t="array" ref="J18">_xlfn.XLOOKUP($A18&amp;J$3&amp;$I$2&amp;$A$1,dropout_results!$C$2:$C$300&amp;dropout_results!$K$2:$K$300&amp;dropout_results!$J$2:$J$300&amp;dropout_results!$I$2:$I$300,dropout_results!$L$2:$L$300,"",0)</f>
        <v/>
      </c>
    </row>
    <row r="19" spans="1:10" x14ac:dyDescent="0.25">
      <c r="A19" t="s">
        <v>29</v>
      </c>
      <c r="B19" t="s">
        <v>126</v>
      </c>
      <c r="C19" s="8" t="str" cm="1">
        <f t="array" ref="C19">_xlfn.XLOOKUP($A19&amp;C$3&amp;$C$2&amp;$A$1,dropout_results!$C$2:$C$300&amp;dropout_results!$K$2:$K$300&amp;dropout_results!$J$2:$J$300&amp;dropout_results!$I$2:$I$300,dropout_results!$L$2:$L$300,"",0)</f>
        <v>0.00[-0.02,0.02]</v>
      </c>
      <c r="D19" s="8" t="str" cm="1">
        <f t="array" ref="D19">_xlfn.XLOOKUP($A19&amp;D$3&amp;$C$2&amp;$A$1,dropout_results!$C$2:$C$300&amp;dropout_results!$K$2:$K$300&amp;dropout_results!$J$2:$J$300&amp;dropout_results!$I$2:$I$300,dropout_results!$L$2:$L$300,"",0)</f>
        <v>0.00[-0.02,0.02]</v>
      </c>
      <c r="E19" s="8"/>
      <c r="F19" s="8" t="str" cm="1">
        <f t="array" ref="F19">_xlfn.XLOOKUP($A19&amp;F$3&amp;$F$2&amp;$A$1,dropout_results!$C$2:$C$300&amp;dropout_results!$K$2:$K$300&amp;dropout_results!$J$2:$J$300&amp;dropout_results!$I$2:$I$300,dropout_results!$L$2:$L$300,"",0)</f>
        <v/>
      </c>
      <c r="G19" s="8" t="str" cm="1">
        <f t="array" ref="G19">_xlfn.XLOOKUP($A19&amp;G$3&amp;$F$2&amp;$A$1,dropout_results!$C$2:$C$300&amp;dropout_results!$K$2:$K$300&amp;dropout_results!$J$2:$J$300&amp;dropout_results!$I$2:$I$300,dropout_results!$L$2:$L$300,"",0)</f>
        <v/>
      </c>
      <c r="H19" s="8"/>
      <c r="I19" s="8" t="str" cm="1">
        <f t="array" ref="I19">_xlfn.XLOOKUP($A19&amp;I$3&amp;$I$2&amp;$A$1,dropout_results!$C$2:$C$300&amp;dropout_results!$K$2:$K$300&amp;dropout_results!$J$2:$J$300&amp;dropout_results!$I$2:$I$300,dropout_results!$L$2:$L$300,"",0)</f>
        <v>0.01[-0.01,0.03]</v>
      </c>
      <c r="J19" s="8" t="str" cm="1">
        <f t="array" ref="J19">_xlfn.XLOOKUP($A19&amp;J$3&amp;$I$2&amp;$A$1,dropout_results!$C$2:$C$300&amp;dropout_results!$K$2:$K$300&amp;dropout_results!$J$2:$J$300&amp;dropout_results!$I$2:$I$300,dropout_results!$L$2:$L$300,"",0)</f>
        <v>0.01[-0.01,0.03]</v>
      </c>
    </row>
    <row r="20" spans="1:10" x14ac:dyDescent="0.25">
      <c r="A20" t="s">
        <v>30</v>
      </c>
      <c r="B20" t="s">
        <v>127</v>
      </c>
      <c r="C20" s="8" t="str" cm="1">
        <f t="array" ref="C20">_xlfn.XLOOKUP($A20&amp;C$3&amp;$C$2&amp;$A$1,dropout_results!$C$2:$C$300&amp;dropout_results!$K$2:$K$300&amp;dropout_results!$J$2:$J$300&amp;dropout_results!$I$2:$I$300,dropout_results!$L$2:$L$300,"",0)</f>
        <v>4.95[-2.89,12.79]</v>
      </c>
      <c r="D20" s="8" t="str" cm="1">
        <f t="array" ref="D20">_xlfn.XLOOKUP($A20&amp;D$3&amp;$C$2&amp;$A$1,dropout_results!$C$2:$C$300&amp;dropout_results!$K$2:$K$300&amp;dropout_results!$J$2:$J$300&amp;dropout_results!$I$2:$I$300,dropout_results!$L$2:$L$300,"",0)</f>
        <v>4.65[-3.21,12.50]</v>
      </c>
      <c r="E20" s="8"/>
      <c r="F20" s="8" t="str" cm="1">
        <f t="array" ref="F20">_xlfn.XLOOKUP($A20&amp;F$3&amp;$F$2&amp;$A$1,dropout_results!$C$2:$C$300&amp;dropout_results!$K$2:$K$300&amp;dropout_results!$J$2:$J$300&amp;dropout_results!$I$2:$I$300,dropout_results!$L$2:$L$300,"",0)</f>
        <v>-2.91[-7.36,1.55]</v>
      </c>
      <c r="G20" s="8" t="str" cm="1">
        <f t="array" ref="G20">_xlfn.XLOOKUP($A20&amp;G$3&amp;$F$2&amp;$A$1,dropout_results!$C$2:$C$300&amp;dropout_results!$K$2:$K$300&amp;dropout_results!$J$2:$J$300&amp;dropout_results!$I$2:$I$300,dropout_results!$L$2:$L$300,"",0)</f>
        <v>-2.82[-7.31,1.67]</v>
      </c>
      <c r="H20" s="8"/>
      <c r="I20" s="8" t="str" cm="1">
        <f t="array" ref="I20">_xlfn.XLOOKUP($A20&amp;I$3&amp;$I$2&amp;$A$1,dropout_results!$C$2:$C$300&amp;dropout_results!$K$2:$K$300&amp;dropout_results!$J$2:$J$300&amp;dropout_results!$I$2:$I$300,dropout_results!$L$2:$L$300,"",0)</f>
        <v>4.60[1.23,7.98]</v>
      </c>
      <c r="J20" s="8" t="str" cm="1">
        <f t="array" ref="J20">_xlfn.XLOOKUP($A20&amp;J$3&amp;$I$2&amp;$A$1,dropout_results!$C$2:$C$300&amp;dropout_results!$K$2:$K$300&amp;dropout_results!$J$2:$J$300&amp;dropout_results!$I$2:$I$300,dropout_results!$L$2:$L$300,"",0)</f>
        <v/>
      </c>
    </row>
    <row r="21" spans="1:10" x14ac:dyDescent="0.25">
      <c r="A21" t="s">
        <v>31</v>
      </c>
      <c r="B21" t="s">
        <v>128</v>
      </c>
      <c r="C21" s="8" t="str" cm="1">
        <f t="array" ref="C21">_xlfn.XLOOKUP($A21&amp;C$3&amp;$C$2&amp;$A$1,dropout_results!$C$2:$C$300&amp;dropout_results!$K$2:$K$300&amp;dropout_results!$J$2:$J$300&amp;dropout_results!$I$2:$I$300,dropout_results!$L$2:$L$300,"",0)</f>
        <v>-4.79[-14.84,5.26]</v>
      </c>
      <c r="D21" s="8" t="str" cm="1">
        <f t="array" ref="D21">_xlfn.XLOOKUP($A21&amp;D$3&amp;$C$2&amp;$A$1,dropout_results!$C$2:$C$300&amp;dropout_results!$K$2:$K$300&amp;dropout_results!$J$2:$J$300&amp;dropout_results!$I$2:$I$300,dropout_results!$L$2:$L$300,"",0)</f>
        <v>-4.68[-14.70,5.33]</v>
      </c>
      <c r="E21" s="8"/>
      <c r="F21" s="8" t="str" cm="1">
        <f t="array" ref="F21">_xlfn.XLOOKUP($A21&amp;F$3&amp;$F$2&amp;$A$1,dropout_results!$C$2:$C$300&amp;dropout_results!$K$2:$K$300&amp;dropout_results!$J$2:$J$300&amp;dropout_results!$I$2:$I$300,dropout_results!$L$2:$L$300,"",0)</f>
        <v/>
      </c>
      <c r="G21" s="8" t="str" cm="1">
        <f t="array" ref="G21">_xlfn.XLOOKUP($A21&amp;G$3&amp;$F$2&amp;$A$1,dropout_results!$C$2:$C$300&amp;dropout_results!$K$2:$K$300&amp;dropout_results!$J$2:$J$300&amp;dropout_results!$I$2:$I$300,dropout_results!$L$2:$L$300,"",0)</f>
        <v/>
      </c>
      <c r="H21" s="8"/>
      <c r="I21" s="8" t="str" cm="1">
        <f t="array" ref="I21">_xlfn.XLOOKUP($A21&amp;I$3&amp;$I$2&amp;$A$1,dropout_results!$C$2:$C$300&amp;dropout_results!$K$2:$K$300&amp;dropout_results!$J$2:$J$300&amp;dropout_results!$I$2:$I$300,dropout_results!$L$2:$L$300,"",0)</f>
        <v/>
      </c>
      <c r="J21" s="8" t="str" cm="1">
        <f t="array" ref="J21">_xlfn.XLOOKUP($A21&amp;J$3&amp;$I$2&amp;$A$1,dropout_results!$C$2:$C$300&amp;dropout_results!$K$2:$K$300&amp;dropout_results!$J$2:$J$300&amp;dropout_results!$I$2:$I$300,dropout_results!$L$2:$L$300,"",0)</f>
        <v/>
      </c>
    </row>
    <row r="22" spans="1:10" x14ac:dyDescent="0.25">
      <c r="A22" t="s">
        <v>32</v>
      </c>
      <c r="B22" t="s">
        <v>129</v>
      </c>
      <c r="C22" s="8" t="str" cm="1">
        <f t="array" ref="C22">_xlfn.XLOOKUP($A22&amp;C$3&amp;$C$2&amp;$A$1,dropout_results!$C$2:$C$300&amp;dropout_results!$K$2:$K$300&amp;dropout_results!$J$2:$J$300&amp;dropout_results!$I$2:$I$300,dropout_results!$L$2:$L$300,"",0)</f>
        <v>0.00[-0.01,0.01]</v>
      </c>
      <c r="D22" s="8" t="str" cm="1">
        <f t="array" ref="D22">_xlfn.XLOOKUP($A22&amp;D$3&amp;$C$2&amp;$A$1,dropout_results!$C$2:$C$300&amp;dropout_results!$K$2:$K$300&amp;dropout_results!$J$2:$J$300&amp;dropout_results!$I$2:$I$300,dropout_results!$L$2:$L$300,"",0)</f>
        <v>0.01[-0.01,0.02]</v>
      </c>
      <c r="E22" s="8"/>
      <c r="F22" s="8" t="str" cm="1">
        <f t="array" ref="F22">_xlfn.XLOOKUP($A22&amp;F$3&amp;$F$2&amp;$A$1,dropout_results!$C$2:$C$300&amp;dropout_results!$K$2:$K$300&amp;dropout_results!$J$2:$J$300&amp;dropout_results!$I$2:$I$300,dropout_results!$L$2:$L$300,"",0)</f>
        <v/>
      </c>
      <c r="G22" s="8" t="str" cm="1">
        <f t="array" ref="G22">_xlfn.XLOOKUP($A22&amp;G$3&amp;$F$2&amp;$A$1,dropout_results!$C$2:$C$300&amp;dropout_results!$K$2:$K$300&amp;dropout_results!$J$2:$J$300&amp;dropout_results!$I$2:$I$300,dropout_results!$L$2:$L$300,"",0)</f>
        <v/>
      </c>
      <c r="H22" s="8"/>
      <c r="I22" s="8" t="str" cm="1">
        <f t="array" ref="I22">_xlfn.XLOOKUP($A22&amp;I$3&amp;$I$2&amp;$A$1,dropout_results!$C$2:$C$300&amp;dropout_results!$K$2:$K$300&amp;dropout_results!$J$2:$J$300&amp;dropout_results!$I$2:$I$300,dropout_results!$L$2:$L$300,"",0)</f>
        <v>-0.02[-0.04,-0.01]</v>
      </c>
      <c r="J22" s="8" t="str" cm="1">
        <f t="array" ref="J22">_xlfn.XLOOKUP($A22&amp;J$3&amp;$I$2&amp;$A$1,dropout_results!$C$2:$C$300&amp;dropout_results!$K$2:$K$300&amp;dropout_results!$J$2:$J$300&amp;dropout_results!$I$2:$I$300,dropout_results!$L$2:$L$300,"",0)</f>
        <v>-0.02[-0.03,-0.01]</v>
      </c>
    </row>
    <row r="23" spans="1:10" x14ac:dyDescent="0.25">
      <c r="A23" t="s">
        <v>33</v>
      </c>
      <c r="B23" t="s">
        <v>130</v>
      </c>
      <c r="C23" s="8" t="str" cm="1">
        <f t="array" ref="C23">_xlfn.XLOOKUP($A23&amp;C$3&amp;$C$2&amp;$A$1,dropout_results!$C$2:$C$300&amp;dropout_results!$K$2:$K$300&amp;dropout_results!$J$2:$J$300&amp;dropout_results!$I$2:$I$300,dropout_results!$L$2:$L$300,"",0)</f>
        <v>0.15[-0.05,0.35]</v>
      </c>
      <c r="D23" s="8" t="str" cm="1">
        <f t="array" ref="D23">_xlfn.XLOOKUP($A23&amp;D$3&amp;$C$2&amp;$A$1,dropout_results!$C$2:$C$300&amp;dropout_results!$K$2:$K$300&amp;dropout_results!$J$2:$J$300&amp;dropout_results!$I$2:$I$300,dropout_results!$L$2:$L$300,"",0)</f>
        <v>0.11[-0.10,0.31]</v>
      </c>
      <c r="E23" s="8"/>
      <c r="F23" s="8" t="str" cm="1">
        <f t="array" ref="F23">_xlfn.XLOOKUP($A23&amp;F$3&amp;$F$2&amp;$A$1,dropout_results!$C$2:$C$300&amp;dropout_results!$K$2:$K$300&amp;dropout_results!$J$2:$J$300&amp;dropout_results!$I$2:$I$300,dropout_results!$L$2:$L$300,"",0)</f>
        <v/>
      </c>
      <c r="G23" s="8" t="str" cm="1">
        <f t="array" ref="G23">_xlfn.XLOOKUP($A23&amp;G$3&amp;$F$2&amp;$A$1,dropout_results!$C$2:$C$300&amp;dropout_results!$K$2:$K$300&amp;dropout_results!$J$2:$J$300&amp;dropout_results!$I$2:$I$300,dropout_results!$L$2:$L$300,"",0)</f>
        <v/>
      </c>
      <c r="H23" s="8"/>
      <c r="I23" s="8" t="str" cm="1">
        <f t="array" ref="I23">_xlfn.XLOOKUP($A23&amp;I$3&amp;$I$2&amp;$A$1,dropout_results!$C$2:$C$300&amp;dropout_results!$K$2:$K$300&amp;dropout_results!$J$2:$J$300&amp;dropout_results!$I$2:$I$300,dropout_results!$L$2:$L$300,"",0)</f>
        <v>0.00[-0.15,0.15]</v>
      </c>
      <c r="J23" s="8" t="str" cm="1">
        <f t="array" ref="J23">_xlfn.XLOOKUP($A23&amp;J$3&amp;$I$2&amp;$A$1,dropout_results!$C$2:$C$300&amp;dropout_results!$K$2:$K$300&amp;dropout_results!$J$2:$J$300&amp;dropout_results!$I$2:$I$300,dropout_results!$L$2:$L$300,"",0)</f>
        <v>0.00[-0.15,0.14]</v>
      </c>
    </row>
    <row r="24" spans="1:10" x14ac:dyDescent="0.25">
      <c r="A24" t="s">
        <v>34</v>
      </c>
      <c r="B24" t="s">
        <v>131</v>
      </c>
      <c r="C24" s="8" t="str" cm="1">
        <f t="array" ref="C24">_xlfn.XLOOKUP($A24&amp;C$3&amp;$C$2&amp;$A$1,dropout_results!$C$2:$C$300&amp;dropout_results!$K$2:$K$300&amp;dropout_results!$J$2:$J$300&amp;dropout_results!$I$2:$I$300,dropout_results!$L$2:$L$300,"",0)</f>
        <v>0.01[-0.14,0.16]</v>
      </c>
      <c r="D24" s="8" t="str" cm="1">
        <f t="array" ref="D24">_xlfn.XLOOKUP($A24&amp;D$3&amp;$C$2&amp;$A$1,dropout_results!$C$2:$C$300&amp;dropout_results!$K$2:$K$300&amp;dropout_results!$J$2:$J$300&amp;dropout_results!$I$2:$I$300,dropout_results!$L$2:$L$300,"",0)</f>
        <v>-0.01[-0.16,0.15]</v>
      </c>
      <c r="E24" s="8"/>
      <c r="F24" s="8" t="str" cm="1">
        <f t="array" ref="F24">_xlfn.XLOOKUP($A24&amp;F$3&amp;$F$2&amp;$A$1,dropout_results!$C$2:$C$300&amp;dropout_results!$K$2:$K$300&amp;dropout_results!$J$2:$J$300&amp;dropout_results!$I$2:$I$300,dropout_results!$L$2:$L$300,"",0)</f>
        <v>-0.09[-0.23,0.06]</v>
      </c>
      <c r="G24" s="8" t="str" cm="1">
        <f t="array" ref="G24">_xlfn.XLOOKUP($A24&amp;G$3&amp;$F$2&amp;$A$1,dropout_results!$C$2:$C$300&amp;dropout_results!$K$2:$K$300&amp;dropout_results!$J$2:$J$300&amp;dropout_results!$I$2:$I$300,dropout_results!$L$2:$L$300,"",0)</f>
        <v>-0.09[-0.24,0.05]</v>
      </c>
      <c r="H24" s="8"/>
      <c r="I24" s="8" t="str" cm="1">
        <f t="array" ref="I24">_xlfn.XLOOKUP($A24&amp;I$3&amp;$I$2&amp;$A$1,dropout_results!$C$2:$C$300&amp;dropout_results!$K$2:$K$300&amp;dropout_results!$J$2:$J$300&amp;dropout_results!$I$2:$I$300,dropout_results!$L$2:$L$300,"",0)</f>
        <v>0.01[-0.11,0.14]</v>
      </c>
      <c r="J24" s="8" t="str" cm="1">
        <f t="array" ref="J24">_xlfn.XLOOKUP($A24&amp;J$3&amp;$I$2&amp;$A$1,dropout_results!$C$2:$C$300&amp;dropout_results!$K$2:$K$300&amp;dropout_results!$J$2:$J$300&amp;dropout_results!$I$2:$I$300,dropout_results!$L$2:$L$300,"",0)</f>
        <v>0.09[-0.04,0.21]</v>
      </c>
    </row>
    <row r="25" spans="1:10" x14ac:dyDescent="0.25">
      <c r="A25" t="s">
        <v>35</v>
      </c>
      <c r="B25" t="s">
        <v>132</v>
      </c>
      <c r="C25" s="8" t="str" cm="1">
        <f t="array" ref="C25">_xlfn.XLOOKUP($A25&amp;C$3&amp;$C$2&amp;$A$1,dropout_results!$C$2:$C$300&amp;dropout_results!$K$2:$K$300&amp;dropout_results!$J$2:$J$300&amp;dropout_results!$I$2:$I$300,dropout_results!$L$2:$L$300,"",0)</f>
        <v>0.00[-0.01,0.02]</v>
      </c>
      <c r="D25" s="8" t="str" cm="1">
        <f t="array" ref="D25">_xlfn.XLOOKUP($A25&amp;D$3&amp;$C$2&amp;$A$1,dropout_results!$C$2:$C$300&amp;dropout_results!$K$2:$K$300&amp;dropout_results!$J$2:$J$300&amp;dropout_results!$I$2:$I$300,dropout_results!$L$2:$L$300,"",0)</f>
        <v>0.00[-0.01,0.02]</v>
      </c>
      <c r="E25" s="8"/>
      <c r="F25" s="8" t="str" cm="1">
        <f t="array" ref="F25">_xlfn.XLOOKUP($A25&amp;F$3&amp;$F$2&amp;$A$1,dropout_results!$C$2:$C$300&amp;dropout_results!$K$2:$K$300&amp;dropout_results!$J$2:$J$300&amp;dropout_results!$I$2:$I$300,dropout_results!$L$2:$L$300,"",0)</f>
        <v/>
      </c>
      <c r="G25" s="8" t="str" cm="1">
        <f t="array" ref="G25">_xlfn.XLOOKUP($A25&amp;G$3&amp;$F$2&amp;$A$1,dropout_results!$C$2:$C$300&amp;dropout_results!$K$2:$K$300&amp;dropout_results!$J$2:$J$300&amp;dropout_results!$I$2:$I$300,dropout_results!$L$2:$L$300,"",0)</f>
        <v/>
      </c>
      <c r="H25" s="8"/>
      <c r="I25" s="8" t="str" cm="1">
        <f t="array" ref="I25">_xlfn.XLOOKUP($A25&amp;I$3&amp;$I$2&amp;$A$1,dropout_results!$C$2:$C$300&amp;dropout_results!$K$2:$K$300&amp;dropout_results!$J$2:$J$300&amp;dropout_results!$I$2:$I$300,dropout_results!$L$2:$L$300,"",0)</f>
        <v/>
      </c>
      <c r="J25" s="8" t="str" cm="1">
        <f t="array" ref="J25">_xlfn.XLOOKUP($A25&amp;J$3&amp;$I$2&amp;$A$1,dropout_results!$C$2:$C$300&amp;dropout_results!$K$2:$K$300&amp;dropout_results!$J$2:$J$300&amp;dropout_results!$I$2:$I$300,dropout_results!$L$2:$L$300,"",0)</f>
        <v/>
      </c>
    </row>
    <row r="26" spans="1:10" x14ac:dyDescent="0.25">
      <c r="A26" t="s">
        <v>36</v>
      </c>
      <c r="B26" t="s">
        <v>133</v>
      </c>
      <c r="C26" t="str" cm="1">
        <f t="array" ref="C26">_xlfn.XLOOKUP($A26&amp;C$3&amp;$C$2&amp;$A$1,dropout_results!$C$2:$C$300&amp;dropout_results!$K$2:$K$300&amp;dropout_results!$J$2:$J$300&amp;dropout_results!$I$2:$I$300,dropout_results!$L$2:$L$300,"",0)</f>
        <v>0.01[0.00,0.02]</v>
      </c>
      <c r="D26" t="str" cm="1">
        <f t="array" ref="D26">_xlfn.XLOOKUP($A26&amp;D$3&amp;$C$2&amp;$A$1,dropout_results!$C$2:$C$300&amp;dropout_results!$K$2:$K$300&amp;dropout_results!$J$2:$J$300&amp;dropout_results!$I$2:$I$300,dropout_results!$L$2:$L$300,"",0)</f>
        <v>0.01[0.00,0.02]</v>
      </c>
      <c r="F26" t="str" cm="1">
        <f t="array" ref="F26">_xlfn.XLOOKUP($A26&amp;F$3&amp;$F$2&amp;$A$1,dropout_results!$C$2:$C$300&amp;dropout_results!$K$2:$K$300&amp;dropout_results!$J$2:$J$300&amp;dropout_results!$I$2:$I$300,dropout_results!$L$2:$L$300,"",0)</f>
        <v/>
      </c>
      <c r="G26" t="str" cm="1">
        <f t="array" ref="G26">_xlfn.XLOOKUP($A26&amp;G$3&amp;$F$2&amp;$A$1,dropout_results!$C$2:$C$300&amp;dropout_results!$K$2:$K$300&amp;dropout_results!$J$2:$J$300&amp;dropout_results!$I$2:$I$300,dropout_results!$L$2:$L$300,"",0)</f>
        <v/>
      </c>
      <c r="I26" t="str" cm="1">
        <f t="array" ref="I26">_xlfn.XLOOKUP($A26&amp;I$3&amp;$I$2&amp;$A$1,dropout_results!$C$2:$C$300&amp;dropout_results!$K$2:$K$300&amp;dropout_results!$J$2:$J$300&amp;dropout_results!$I$2:$I$300,dropout_results!$L$2:$L$300,"",0)</f>
        <v>0.01[0.00,0.01]</v>
      </c>
      <c r="J26" t="str" cm="1">
        <f t="array" ref="J26">_xlfn.XLOOKUP($A26&amp;J$3&amp;$I$2&amp;$A$1,dropout_results!$C$2:$C$300&amp;dropout_results!$K$2:$K$300&amp;dropout_results!$J$2:$J$300&amp;dropout_results!$I$2:$I$300,dropout_results!$L$2:$L$300,"",0)</f>
        <v/>
      </c>
    </row>
    <row r="27" spans="1:10" s="2" customFormat="1" x14ac:dyDescent="0.25">
      <c r="A27" s="2" t="s">
        <v>89</v>
      </c>
      <c r="B27" s="2" t="s">
        <v>134</v>
      </c>
      <c r="C27" s="2" t="str" cm="1">
        <f t="array" ref="C27">_xlfn.XLOOKUP($A27&amp;C$3&amp;$C$2&amp;$A$1,dropout_results!$C$2:$C$300&amp;dropout_results!$K$2:$K$300&amp;dropout_results!$J$2:$J$300&amp;dropout_results!$I$2:$I$300,dropout_results!$L$2:$L$300,"",0)</f>
        <v/>
      </c>
      <c r="D27" s="2" t="str" cm="1">
        <f t="array" ref="D27">_xlfn.XLOOKUP($A27&amp;D$3&amp;$C$2&amp;$A$1,dropout_results!$C$2:$C$300&amp;dropout_results!$K$2:$K$300&amp;dropout_results!$J$2:$J$300&amp;dropout_results!$I$2:$I$300,dropout_results!$L$2:$L$300,"",0)</f>
        <v/>
      </c>
      <c r="F27" s="2" t="str" cm="1">
        <f t="array" ref="F27">_xlfn.XLOOKUP($A27&amp;F$3&amp;$F$2&amp;$A$1,dropout_results!$C$2:$C$300&amp;dropout_results!$K$2:$K$300&amp;dropout_results!$J$2:$J$300&amp;dropout_results!$I$2:$I$300,dropout_results!$L$2:$L$300,"",0)</f>
        <v>-0.15[-0.18,-0.12]</v>
      </c>
      <c r="G27" s="2" t="str" cm="1">
        <f t="array" ref="G27">_xlfn.XLOOKUP($A27&amp;G$3&amp;$F$2&amp;$A$1,dropout_results!$C$2:$C$300&amp;dropout_results!$K$2:$K$300&amp;dropout_results!$J$2:$J$300&amp;dropout_results!$I$2:$I$300,dropout_results!$L$2:$L$300,"",0)</f>
        <v>-0.15[-0.18,-0.12]</v>
      </c>
      <c r="I27" s="2" t="str" cm="1">
        <f t="array" ref="I27">_xlfn.XLOOKUP($A27&amp;I$3&amp;$I$2&amp;$A$1,dropout_results!$C$2:$C$300&amp;dropout_results!$K$2:$K$300&amp;dropout_results!$J$2:$J$300&amp;dropout_results!$I$2:$I$300,dropout_results!$L$2:$L$300,"",0)</f>
        <v>-0.08[-0.13,-0.03]</v>
      </c>
      <c r="J27" s="2" t="str" cm="1">
        <f t="array" ref="J27">_xlfn.XLOOKUP($A27&amp;J$3&amp;$I$2&amp;$A$1,dropout_results!$C$2:$C$300&amp;dropout_results!$K$2:$K$300&amp;dropout_results!$J$2:$J$300&amp;dropout_results!$I$2:$I$300,dropout_results!$L$2:$L$300,"",0)</f>
        <v>-0.12[-0.15,-0.09]</v>
      </c>
    </row>
    <row r="28" spans="1:10" x14ac:dyDescent="0.25">
      <c r="A28" t="s">
        <v>97</v>
      </c>
      <c r="B28" t="s">
        <v>168</v>
      </c>
      <c r="C28" s="8" t="str" cm="1">
        <f t="array" ref="C28">_xlfn.XLOOKUP($A28&amp;C$3&amp;$C$2&amp;$A$1,dropout_results!$C$2:$C$300&amp;dropout_results!$K$2:$K$300&amp;dropout_results!$J$2:$J$300&amp;dropout_results!$I$2:$I$300,dropout_results!$L$2:$L$300,"",0)</f>
        <v/>
      </c>
      <c r="D28" s="8" t="str" cm="1">
        <f t="array" ref="D28">_xlfn.XLOOKUP($A28&amp;D$3&amp;$C$2&amp;$A$1,dropout_results!$C$2:$C$300&amp;dropout_results!$K$2:$K$300&amp;dropout_results!$J$2:$J$300&amp;dropout_results!$I$2:$I$300,dropout_results!$L$2:$L$300,"",0)</f>
        <v/>
      </c>
      <c r="E28" s="8"/>
      <c r="F28" s="8" t="str" cm="1">
        <f t="array" ref="F28">_xlfn.XLOOKUP($A28&amp;F$3&amp;$F$2&amp;$A$1,dropout_results!$C$2:$C$300&amp;dropout_results!$K$2:$K$300&amp;dropout_results!$J$2:$J$300&amp;dropout_results!$I$2:$I$300,dropout_results!$L$2:$L$300,"",0)</f>
        <v/>
      </c>
      <c r="G28" s="8" t="str" cm="1">
        <f t="array" ref="G28">_xlfn.XLOOKUP($A28&amp;G$3&amp;$F$2&amp;$A$1,dropout_results!$C$2:$C$300&amp;dropout_results!$K$2:$K$300&amp;dropout_results!$J$2:$J$300&amp;dropout_results!$I$2:$I$300,dropout_results!$L$2:$L$300,"",0)</f>
        <v/>
      </c>
      <c r="H28" s="8"/>
      <c r="I28" s="8" t="str" cm="1">
        <f t="array" ref="I28">_xlfn.XLOOKUP($A28&amp;I$3&amp;$I$2&amp;$A$1,dropout_results!$C$2:$C$300&amp;dropout_results!$K$2:$K$300&amp;dropout_results!$J$2:$J$300&amp;dropout_results!$I$2:$I$300,dropout_results!$L$2:$L$300,"",0)</f>
        <v>0.00[-0.01,0.00]</v>
      </c>
      <c r="J28" s="8" t="str" cm="1">
        <f t="array" ref="J28">_xlfn.XLOOKUP($A28&amp;J$3&amp;$I$2&amp;$A$1,dropout_results!$C$2:$C$300&amp;dropout_results!$K$2:$K$300&amp;dropout_results!$J$2:$J$300&amp;dropout_results!$I$2:$I$300,dropout_results!$L$2:$L$300,"",0)</f>
        <v>0.00[0.00,0.00]</v>
      </c>
    </row>
    <row r="29" spans="1:10" x14ac:dyDescent="0.25">
      <c r="A29" t="s">
        <v>105</v>
      </c>
      <c r="B29" t="s">
        <v>139</v>
      </c>
      <c r="C29" s="8" t="str" cm="1">
        <f t="array" ref="C29">_xlfn.XLOOKUP($A29&amp;C$3&amp;$C$2&amp;$A$1,dropout_results!$C$2:$C$300&amp;dropout_results!$K$2:$K$300&amp;dropout_results!$J$2:$J$300&amp;dropout_results!$I$2:$I$300,dropout_results!$L$2:$L$300,"",0)</f>
        <v/>
      </c>
      <c r="D29" s="8" t="str" cm="1">
        <f t="array" ref="D29">_xlfn.XLOOKUP($A29&amp;D$3&amp;$C$2&amp;$A$1,dropout_results!$C$2:$C$300&amp;dropout_results!$K$2:$K$300&amp;dropout_results!$J$2:$J$300&amp;dropout_results!$I$2:$I$300,dropout_results!$L$2:$L$300,"",0)</f>
        <v/>
      </c>
      <c r="E29" s="8"/>
      <c r="F29" s="8" t="str" cm="1">
        <f t="array" ref="F29">_xlfn.XLOOKUP($A29&amp;F$3&amp;$F$2&amp;$A$1,dropout_results!$C$2:$C$300&amp;dropout_results!$K$2:$K$300&amp;dropout_results!$J$2:$J$300&amp;dropout_results!$I$2:$I$300,dropout_results!$L$2:$L$300,"",0)</f>
        <v/>
      </c>
      <c r="G29" s="8" t="str" cm="1">
        <f t="array" ref="G29">_xlfn.XLOOKUP($A29&amp;G$3&amp;$F$2&amp;$A$1,dropout_results!$C$2:$C$300&amp;dropout_results!$K$2:$K$300&amp;dropout_results!$J$2:$J$300&amp;dropout_results!$I$2:$I$300,dropout_results!$L$2:$L$300,"",0)</f>
        <v/>
      </c>
      <c r="H29" s="8"/>
      <c r="I29" s="8" t="str" cm="1">
        <f t="array" ref="I29">_xlfn.XLOOKUP($A29&amp;I$3&amp;$I$2&amp;$A$1,dropout_results!$C$2:$C$300&amp;dropout_results!$K$2:$K$300&amp;dropout_results!$J$2:$J$300&amp;dropout_results!$I$2:$I$300,dropout_results!$L$2:$L$300,"",0)</f>
        <v>-0.18[-0.23,-0.13]</v>
      </c>
      <c r="J29" s="8" t="str" cm="1">
        <f t="array" ref="J29">_xlfn.XLOOKUP($A29&amp;J$3&amp;$I$2&amp;$A$1,dropout_results!$C$2:$C$300&amp;dropout_results!$K$2:$K$300&amp;dropout_results!$J$2:$J$300&amp;dropout_results!$I$2:$I$300,dropout_results!$L$2:$L$300,"",0)</f>
        <v>-0.19[-0.24,-0.14]</v>
      </c>
    </row>
    <row r="30" spans="1:10" x14ac:dyDescent="0.25">
      <c r="A30" t="s">
        <v>106</v>
      </c>
      <c r="B30" t="s">
        <v>143</v>
      </c>
      <c r="C30" s="8" t="str" cm="1">
        <f t="array" ref="C30">_xlfn.XLOOKUP($A30&amp;C$3&amp;$C$2&amp;$A$1,dropout_results!$C$2:$C$300&amp;dropout_results!$K$2:$K$300&amp;dropout_results!$J$2:$J$300&amp;dropout_results!$I$2:$I$300,dropout_results!$L$2:$L$300,"",0)</f>
        <v/>
      </c>
      <c r="D30" s="8" t="str" cm="1">
        <f t="array" ref="D30">_xlfn.XLOOKUP($A30&amp;D$3&amp;$C$2&amp;$A$1,dropout_results!$C$2:$C$300&amp;dropout_results!$K$2:$K$300&amp;dropout_results!$J$2:$J$300&amp;dropout_results!$I$2:$I$300,dropout_results!$L$2:$L$300,"",0)</f>
        <v/>
      </c>
      <c r="E30" s="8"/>
      <c r="F30" s="8" t="str" cm="1">
        <f t="array" ref="F30">_xlfn.XLOOKUP($A30&amp;F$3&amp;$F$2&amp;$A$1,dropout_results!$C$2:$C$300&amp;dropout_results!$K$2:$K$300&amp;dropout_results!$J$2:$J$300&amp;dropout_results!$I$2:$I$300,dropout_results!$L$2:$L$300,"",0)</f>
        <v/>
      </c>
      <c r="G30" s="8" t="str" cm="1">
        <f t="array" ref="G30">_xlfn.XLOOKUP($A30&amp;G$3&amp;$F$2&amp;$A$1,dropout_results!$C$2:$C$300&amp;dropout_results!$K$2:$K$300&amp;dropout_results!$J$2:$J$300&amp;dropout_results!$I$2:$I$300,dropout_results!$L$2:$L$300,"",0)</f>
        <v/>
      </c>
      <c r="H30" s="8"/>
      <c r="I30" s="8" t="str" cm="1">
        <f t="array" ref="I30">_xlfn.XLOOKUP($A30&amp;I$3&amp;$I$2&amp;$A$1,dropout_results!$C$2:$C$300&amp;dropout_results!$K$2:$K$300&amp;dropout_results!$J$2:$J$300&amp;dropout_results!$I$2:$I$300,dropout_results!$L$2:$L$300,"",0)</f>
        <v>0.00[0.00,0.00]</v>
      </c>
      <c r="J30" s="8" t="str" cm="1">
        <f t="array" ref="J30">_xlfn.XLOOKUP($A30&amp;J$3&amp;$I$2&amp;$A$1,dropout_results!$C$2:$C$300&amp;dropout_results!$K$2:$K$300&amp;dropout_results!$J$2:$J$300&amp;dropout_results!$I$2:$I$300,dropout_results!$L$2:$L$300,"",0)</f>
        <v/>
      </c>
    </row>
    <row r="31" spans="1:10" x14ac:dyDescent="0.25">
      <c r="A31" t="s">
        <v>156</v>
      </c>
      <c r="B31" t="s">
        <v>163</v>
      </c>
      <c r="C31" s="8" t="str" cm="1">
        <f t="array" ref="C31">_xlfn.XLOOKUP($A31&amp;C$3&amp;$C$2&amp;$A$1,dropout_results!$C$2:$C$300&amp;dropout_results!$K$2:$K$300&amp;dropout_results!$J$2:$J$300&amp;dropout_results!$I$2:$I$300,dropout_results!$L$2:$L$300,"",0)</f>
        <v/>
      </c>
      <c r="D31" s="8" t="str" cm="1">
        <f t="array" ref="D31">_xlfn.XLOOKUP($A31&amp;D$3&amp;$C$2&amp;$A$1,dropout_results!$C$2:$C$300&amp;dropout_results!$K$2:$K$300&amp;dropout_results!$J$2:$J$300&amp;dropout_results!$I$2:$I$300,dropout_results!$L$2:$L$300,"",0)</f>
        <v/>
      </c>
      <c r="E31" s="8"/>
      <c r="F31" s="8" t="str" cm="1">
        <f t="array" ref="F31">_xlfn.XLOOKUP($A31&amp;F$3&amp;$F$2&amp;$A$1,dropout_results!$C$2:$C$300&amp;dropout_results!$K$2:$K$300&amp;dropout_results!$J$2:$J$300&amp;dropout_results!$I$2:$I$300,dropout_results!$L$2:$L$300,"",0)</f>
        <v/>
      </c>
      <c r="G31" s="8" t="str" cm="1">
        <f t="array" ref="G31">_xlfn.XLOOKUP($A31&amp;G$3&amp;$F$2&amp;$A$1,dropout_results!$C$2:$C$300&amp;dropout_results!$K$2:$K$300&amp;dropout_results!$J$2:$J$300&amp;dropout_results!$I$2:$I$300,dropout_results!$L$2:$L$300,"",0)</f>
        <v/>
      </c>
      <c r="H31" s="8"/>
      <c r="I31" s="8" t="str" cm="1">
        <f t="array" ref="I31">_xlfn.XLOOKUP($A31&amp;I$3&amp;$I$2&amp;$A$1,dropout_results!$C$2:$C$300&amp;dropout_results!$K$2:$K$300&amp;dropout_results!$J$2:$J$300&amp;dropout_results!$I$2:$I$300,dropout_results!$L$2:$L$300,"",0)</f>
        <v>0.06[-0.12,0.24]</v>
      </c>
      <c r="J31" s="8" t="str" cm="1">
        <f t="array" ref="J31">_xlfn.XLOOKUP($A31&amp;J$3&amp;$I$2&amp;$A$1,dropout_results!$C$2:$C$300&amp;dropout_results!$K$2:$K$300&amp;dropout_results!$J$2:$J$300&amp;dropout_results!$I$2:$I$300,dropout_results!$L$2:$L$300,"",0)</f>
        <v/>
      </c>
    </row>
    <row r="32" spans="1:10" x14ac:dyDescent="0.25">
      <c r="A32" t="s">
        <v>107</v>
      </c>
      <c r="B32" t="s">
        <v>164</v>
      </c>
      <c r="C32" s="8" t="str" cm="1">
        <f t="array" ref="C32">_xlfn.XLOOKUP($A32&amp;C$3&amp;$C$2&amp;$A$1,dropout_results!$C$2:$C$300&amp;dropout_results!$K$2:$K$300&amp;dropout_results!$J$2:$J$300&amp;dropout_results!$I$2:$I$300,dropout_results!$L$2:$L$300,"",0)</f>
        <v/>
      </c>
      <c r="D32" s="8" t="str" cm="1">
        <f t="array" ref="D32">_xlfn.XLOOKUP($A32&amp;D$3&amp;$C$2&amp;$A$1,dropout_results!$C$2:$C$300&amp;dropout_results!$K$2:$K$300&amp;dropout_results!$J$2:$J$300&amp;dropout_results!$I$2:$I$300,dropout_results!$L$2:$L$300,"",0)</f>
        <v/>
      </c>
      <c r="E32" s="8"/>
      <c r="F32" s="8" t="str" cm="1">
        <f t="array" ref="F32">_xlfn.XLOOKUP($A32&amp;F$3&amp;$F$2&amp;$A$1,dropout_results!$C$2:$C$300&amp;dropout_results!$K$2:$K$300&amp;dropout_results!$J$2:$J$300&amp;dropout_results!$I$2:$I$300,dropout_results!$L$2:$L$300,"",0)</f>
        <v/>
      </c>
      <c r="G32" s="8" t="str" cm="1">
        <f t="array" ref="G32">_xlfn.XLOOKUP($A32&amp;G$3&amp;$F$2&amp;$A$1,dropout_results!$C$2:$C$300&amp;dropout_results!$K$2:$K$300&amp;dropout_results!$J$2:$J$300&amp;dropout_results!$I$2:$I$300,dropout_results!$L$2:$L$300,"",0)</f>
        <v/>
      </c>
      <c r="H32" s="8"/>
      <c r="I32" s="8" t="str" cm="1">
        <f t="array" ref="I32">_xlfn.XLOOKUP($A32&amp;I$3&amp;$I$2&amp;$A$1,dropout_results!$C$2:$C$300&amp;dropout_results!$K$2:$K$300&amp;dropout_results!$J$2:$J$300&amp;dropout_results!$I$2:$I$300,dropout_results!$L$2:$L$300,"",0)</f>
        <v>-61.19[-84.51,-37.87]</v>
      </c>
      <c r="J32" s="8" t="str" cm="1">
        <f t="array" ref="J32">_xlfn.XLOOKUP($A32&amp;J$3&amp;$I$2&amp;$A$1,dropout_results!$C$2:$C$300&amp;dropout_results!$K$2:$K$300&amp;dropout_results!$J$2:$J$300&amp;dropout_results!$I$2:$I$300,dropout_results!$L$2:$L$300,"",0)</f>
        <v>-73.79[-97.47,-50.10]</v>
      </c>
    </row>
    <row r="33" spans="1:10" x14ac:dyDescent="0.25">
      <c r="A33" t="s">
        <v>98</v>
      </c>
      <c r="B33" t="s">
        <v>165</v>
      </c>
      <c r="C33" s="8" t="str" cm="1">
        <f t="array" ref="C33">_xlfn.XLOOKUP($A33&amp;C$3&amp;$C$2&amp;$A$1,dropout_results!$C$2:$C$300&amp;dropout_results!$K$2:$K$300&amp;dropout_results!$J$2:$J$300&amp;dropout_results!$I$2:$I$300,dropout_results!$L$2:$L$300,"",0)</f>
        <v/>
      </c>
      <c r="D33" s="8" t="str" cm="1">
        <f t="array" ref="D33">_xlfn.XLOOKUP($A33&amp;D$3&amp;$C$2&amp;$A$1,dropout_results!$C$2:$C$300&amp;dropout_results!$K$2:$K$300&amp;dropout_results!$J$2:$J$300&amp;dropout_results!$I$2:$I$300,dropout_results!$L$2:$L$300,"",0)</f>
        <v/>
      </c>
      <c r="E33" s="8"/>
      <c r="F33" s="8" t="str" cm="1">
        <f t="array" ref="F33">_xlfn.XLOOKUP($A33&amp;F$3&amp;$F$2&amp;$A$1,dropout_results!$C$2:$C$300&amp;dropout_results!$K$2:$K$300&amp;dropout_results!$J$2:$J$300&amp;dropout_results!$I$2:$I$300,dropout_results!$L$2:$L$300,"",0)</f>
        <v/>
      </c>
      <c r="G33" s="8" t="str" cm="1">
        <f t="array" ref="G33">_xlfn.XLOOKUP($A33&amp;G$3&amp;$F$2&amp;$A$1,dropout_results!$C$2:$C$300&amp;dropout_results!$K$2:$K$300&amp;dropout_results!$J$2:$J$300&amp;dropout_results!$I$2:$I$300,dropout_results!$L$2:$L$300,"",0)</f>
        <v/>
      </c>
      <c r="H33" s="8"/>
      <c r="I33" s="8" t="str" cm="1">
        <f t="array" ref="I33">_xlfn.XLOOKUP($A33&amp;I$3&amp;$I$2&amp;$A$1,dropout_results!$C$2:$C$300&amp;dropout_results!$K$2:$K$300&amp;dropout_results!$J$2:$J$300&amp;dropout_results!$I$2:$I$300,dropout_results!$L$2:$L$300,"",0)</f>
        <v>-0.59[-0.75,-0.43]</v>
      </c>
      <c r="J33" s="8" t="str" cm="1">
        <f t="array" ref="J33">_xlfn.XLOOKUP($A33&amp;J$3&amp;$I$2&amp;$A$1,dropout_results!$C$2:$C$300&amp;dropout_results!$K$2:$K$300&amp;dropout_results!$J$2:$J$300&amp;dropout_results!$I$2:$I$300,dropout_results!$L$2:$L$300,"",0)</f>
        <v>-0.54[-0.71,-0.37]</v>
      </c>
    </row>
    <row r="34" spans="1:10" x14ac:dyDescent="0.25">
      <c r="A34" t="s">
        <v>108</v>
      </c>
      <c r="B34" t="s">
        <v>144</v>
      </c>
      <c r="C34" s="8" t="str" cm="1">
        <f t="array" ref="C34">_xlfn.XLOOKUP($A34&amp;C$3&amp;$C$2&amp;$A$1,dropout_results!$C$2:$C$300&amp;dropout_results!$K$2:$K$300&amp;dropout_results!$J$2:$J$300&amp;dropout_results!$I$2:$I$300,dropout_results!$L$2:$L$300,"",0)</f>
        <v/>
      </c>
      <c r="D34" s="8" t="str" cm="1">
        <f t="array" ref="D34">_xlfn.XLOOKUP($A34&amp;D$3&amp;$C$2&amp;$A$1,dropout_results!$C$2:$C$300&amp;dropout_results!$K$2:$K$300&amp;dropout_results!$J$2:$J$300&amp;dropout_results!$I$2:$I$300,dropout_results!$L$2:$L$300,"",0)</f>
        <v/>
      </c>
      <c r="E34" s="8"/>
      <c r="F34" s="8" t="str" cm="1">
        <f t="array" ref="F34">_xlfn.XLOOKUP($A34&amp;F$3&amp;$F$2&amp;$A$1,dropout_results!$C$2:$C$300&amp;dropout_results!$K$2:$K$300&amp;dropout_results!$J$2:$J$300&amp;dropout_results!$I$2:$I$300,dropout_results!$L$2:$L$300,"",0)</f>
        <v/>
      </c>
      <c r="G34" s="8" t="str" cm="1">
        <f t="array" ref="G34">_xlfn.XLOOKUP($A34&amp;G$3&amp;$F$2&amp;$A$1,dropout_results!$C$2:$C$300&amp;dropout_results!$K$2:$K$300&amp;dropout_results!$J$2:$J$300&amp;dropout_results!$I$2:$I$300,dropout_results!$L$2:$L$300,"",0)</f>
        <v/>
      </c>
      <c r="H34" s="8"/>
      <c r="I34" s="8" t="str" cm="1">
        <f t="array" ref="I34">_xlfn.XLOOKUP($A34&amp;I$3&amp;$I$2&amp;$A$1,dropout_results!$C$2:$C$300&amp;dropout_results!$K$2:$K$300&amp;dropout_results!$J$2:$J$300&amp;dropout_results!$I$2:$I$300,dropout_results!$L$2:$L$300,"",0)</f>
        <v>-0.04[-0.07,-0.02]</v>
      </c>
      <c r="J34" s="8" t="str" cm="1">
        <f t="array" ref="J34">_xlfn.XLOOKUP($A34&amp;J$3&amp;$I$2&amp;$A$1,dropout_results!$C$2:$C$300&amp;dropout_results!$K$2:$K$300&amp;dropout_results!$J$2:$J$300&amp;dropout_results!$I$2:$I$300,dropout_results!$L$2:$L$300,"",0)</f>
        <v>-0.02[-0.05,0.00]</v>
      </c>
    </row>
    <row r="35" spans="1:10" x14ac:dyDescent="0.25">
      <c r="A35" t="s">
        <v>109</v>
      </c>
      <c r="B35" t="s">
        <v>141</v>
      </c>
      <c r="C35" s="8" t="str" cm="1">
        <f t="array" ref="C35">_xlfn.XLOOKUP($A35&amp;C$3&amp;$C$2&amp;$A$1,dropout_results!$C$2:$C$300&amp;dropout_results!$K$2:$K$300&amp;dropout_results!$J$2:$J$300&amp;dropout_results!$I$2:$I$300,dropout_results!$L$2:$L$300,"",0)</f>
        <v/>
      </c>
      <c r="D35" s="8" t="str" cm="1">
        <f t="array" ref="D35">_xlfn.XLOOKUP($A35&amp;D$3&amp;$C$2&amp;$A$1,dropout_results!$C$2:$C$300&amp;dropout_results!$K$2:$K$300&amp;dropout_results!$J$2:$J$300&amp;dropout_results!$I$2:$I$300,dropout_results!$L$2:$L$300,"",0)</f>
        <v/>
      </c>
      <c r="E35" s="8"/>
      <c r="F35" s="8" t="str" cm="1">
        <f t="array" ref="F35">_xlfn.XLOOKUP($A35&amp;F$3&amp;$F$2&amp;$A$1,dropout_results!$C$2:$C$300&amp;dropout_results!$K$2:$K$300&amp;dropout_results!$J$2:$J$300&amp;dropout_results!$I$2:$I$300,dropout_results!$L$2:$L$300,"",0)</f>
        <v/>
      </c>
      <c r="G35" s="8" t="str" cm="1">
        <f t="array" ref="G35">_xlfn.XLOOKUP($A35&amp;G$3&amp;$F$2&amp;$A$1,dropout_results!$C$2:$C$300&amp;dropout_results!$K$2:$K$300&amp;dropout_results!$J$2:$J$300&amp;dropout_results!$I$2:$I$300,dropout_results!$L$2:$L$300,"",0)</f>
        <v/>
      </c>
      <c r="H35" s="8"/>
      <c r="I35" s="8" t="str" cm="1">
        <f t="array" ref="I35">_xlfn.XLOOKUP($A35&amp;I$3&amp;$I$2&amp;$A$1,dropout_results!$C$2:$C$300&amp;dropout_results!$K$2:$K$300&amp;dropout_results!$J$2:$J$300&amp;dropout_results!$I$2:$I$300,dropout_results!$L$2:$L$300,"",0)</f>
        <v>-9.30[-16.62,-1.98]</v>
      </c>
      <c r="J35" s="8" t="str" cm="1">
        <f t="array" ref="J35">_xlfn.XLOOKUP($A35&amp;J$3&amp;$I$2&amp;$A$1,dropout_results!$C$2:$C$300&amp;dropout_results!$K$2:$K$300&amp;dropout_results!$J$2:$J$300&amp;dropout_results!$I$2:$I$300,dropout_results!$L$2:$L$300,"",0)</f>
        <v/>
      </c>
    </row>
    <row r="36" spans="1:10" x14ac:dyDescent="0.25">
      <c r="A36" t="s">
        <v>110</v>
      </c>
      <c r="B36" t="s">
        <v>140</v>
      </c>
      <c r="C36" s="8" t="str" cm="1">
        <f t="array" ref="C36">_xlfn.XLOOKUP($A36&amp;C$3&amp;$C$2&amp;$A$1,dropout_results!$C$2:$C$300&amp;dropout_results!$K$2:$K$300&amp;dropout_results!$J$2:$J$300&amp;dropout_results!$I$2:$I$300,dropout_results!$L$2:$L$300,"",0)</f>
        <v/>
      </c>
      <c r="D36" s="8" t="str" cm="1">
        <f t="array" ref="D36">_xlfn.XLOOKUP($A36&amp;D$3&amp;$C$2&amp;$A$1,dropout_results!$C$2:$C$300&amp;dropout_results!$K$2:$K$300&amp;dropout_results!$J$2:$J$300&amp;dropout_results!$I$2:$I$300,dropout_results!$L$2:$L$300,"",0)</f>
        <v/>
      </c>
      <c r="E36" s="8"/>
      <c r="F36" s="8" t="str" cm="1">
        <f t="array" ref="F36">_xlfn.XLOOKUP($A36&amp;F$3&amp;$F$2&amp;$A$1,dropout_results!$C$2:$C$300&amp;dropout_results!$K$2:$K$300&amp;dropout_results!$J$2:$J$300&amp;dropout_results!$I$2:$I$300,dropout_results!$L$2:$L$300,"",0)</f>
        <v/>
      </c>
      <c r="G36" s="8" t="str" cm="1">
        <f t="array" ref="G36">_xlfn.XLOOKUP($A36&amp;G$3&amp;$F$2&amp;$A$1,dropout_results!$C$2:$C$300&amp;dropout_results!$K$2:$K$300&amp;dropout_results!$J$2:$J$300&amp;dropout_results!$I$2:$I$300,dropout_results!$L$2:$L$300,"",0)</f>
        <v/>
      </c>
      <c r="H36" s="8"/>
      <c r="I36" s="8" t="str" cm="1">
        <f t="array" ref="I36">_xlfn.XLOOKUP($A36&amp;I$3&amp;$I$2&amp;$A$1,dropout_results!$C$2:$C$300&amp;dropout_results!$K$2:$K$300&amp;dropout_results!$J$2:$J$300&amp;dropout_results!$I$2:$I$300,dropout_results!$L$2:$L$300,"",0)</f>
        <v>0.64[0.24,1.03]</v>
      </c>
      <c r="J36" s="8" t="str" cm="1">
        <f t="array" ref="J36">_xlfn.XLOOKUP($A36&amp;J$3&amp;$I$2&amp;$A$1,dropout_results!$C$2:$C$300&amp;dropout_results!$K$2:$K$300&amp;dropout_results!$J$2:$J$300&amp;dropout_results!$I$2:$I$300,dropout_results!$L$2:$L$300,"",0)</f>
        <v/>
      </c>
    </row>
    <row r="37" spans="1:10" x14ac:dyDescent="0.25">
      <c r="A37" t="s">
        <v>96</v>
      </c>
      <c r="B37" t="s">
        <v>96</v>
      </c>
      <c r="C37" s="8" t="str" cm="1">
        <f t="array" ref="C37">_xlfn.XLOOKUP($A37&amp;C$3&amp;$C$2&amp;$A$1,dropout_results!$C$2:$C$300&amp;dropout_results!$K$2:$K$300&amp;dropout_results!$J$2:$J$300&amp;dropout_results!$I$2:$I$300,dropout_results!$L$2:$L$300,"",0)</f>
        <v/>
      </c>
      <c r="D37" s="8" t="str" cm="1">
        <f t="array" ref="D37">_xlfn.XLOOKUP($A37&amp;D$3&amp;$C$2&amp;$A$1,dropout_results!$C$2:$C$300&amp;dropout_results!$K$2:$K$300&amp;dropout_results!$J$2:$J$300&amp;dropout_results!$I$2:$I$300,dropout_results!$L$2:$L$300,"",0)</f>
        <v/>
      </c>
      <c r="E37" s="8"/>
      <c r="F37" s="8" t="str" cm="1">
        <f t="array" ref="F37">_xlfn.XLOOKUP($A37&amp;F$3&amp;$F$2&amp;$A$1,dropout_results!$C$2:$C$300&amp;dropout_results!$K$2:$K$300&amp;dropout_results!$J$2:$J$300&amp;dropout_results!$I$2:$I$300,dropout_results!$L$2:$L$300,"",0)</f>
        <v/>
      </c>
      <c r="G37" s="8" t="str" cm="1">
        <f t="array" ref="G37">_xlfn.XLOOKUP($A37&amp;G$3&amp;$F$2&amp;$A$1,dropout_results!$C$2:$C$300&amp;dropout_results!$K$2:$K$300&amp;dropout_results!$J$2:$J$300&amp;dropout_results!$I$2:$I$300,dropout_results!$L$2:$L$300,"",0)</f>
        <v/>
      </c>
      <c r="H37" s="8"/>
      <c r="I37" s="8" t="str" cm="1">
        <f t="array" ref="I37">_xlfn.XLOOKUP($A37&amp;I$3&amp;$I$2&amp;$A$1,dropout_results!$C$2:$C$300&amp;dropout_results!$K$2:$K$300&amp;dropout_results!$J$2:$J$300&amp;dropout_results!$I$2:$I$300,dropout_results!$L$2:$L$300,"",0)</f>
        <v>0.00[0.00,0.00]</v>
      </c>
      <c r="J37" s="8" t="str" cm="1">
        <f t="array" ref="J37">_xlfn.XLOOKUP($A37&amp;J$3&amp;$I$2&amp;$A$1,dropout_results!$C$2:$C$300&amp;dropout_results!$K$2:$K$300&amp;dropout_results!$J$2:$J$300&amp;dropout_results!$I$2:$I$300,dropout_results!$L$2:$L$300,"",0)</f>
        <v/>
      </c>
    </row>
    <row r="38" spans="1:10" x14ac:dyDescent="0.25">
      <c r="A38" t="s">
        <v>157</v>
      </c>
      <c r="B38" t="s">
        <v>166</v>
      </c>
      <c r="C38" s="8" t="str" cm="1">
        <f t="array" ref="C38">_xlfn.XLOOKUP($A38&amp;C$3&amp;$C$2&amp;$A$1,dropout_results!$C$2:$C$300&amp;dropout_results!$K$2:$K$300&amp;dropout_results!$J$2:$J$300&amp;dropout_results!$I$2:$I$300,dropout_results!$L$2:$L$300,"",0)</f>
        <v/>
      </c>
      <c r="D38" s="8" t="str" cm="1">
        <f t="array" ref="D38">_xlfn.XLOOKUP($A38&amp;D$3&amp;$C$2&amp;$A$1,dropout_results!$C$2:$C$300&amp;dropout_results!$K$2:$K$300&amp;dropout_results!$J$2:$J$300&amp;dropout_results!$I$2:$I$300,dropout_results!$L$2:$L$300,"",0)</f>
        <v/>
      </c>
      <c r="E38" s="8"/>
      <c r="F38" s="8" t="str" cm="1">
        <f t="array" ref="F38">_xlfn.XLOOKUP($A38&amp;F$3&amp;$F$2&amp;$A$1,dropout_results!$C$2:$C$300&amp;dropout_results!$K$2:$K$300&amp;dropout_results!$J$2:$J$300&amp;dropout_results!$I$2:$I$300,dropout_results!$L$2:$L$300,"",0)</f>
        <v/>
      </c>
      <c r="G38" s="8" t="str" cm="1">
        <f t="array" ref="G38">_xlfn.XLOOKUP($A38&amp;G$3&amp;$F$2&amp;$A$1,dropout_results!$C$2:$C$300&amp;dropout_results!$K$2:$K$300&amp;dropout_results!$J$2:$J$300&amp;dropout_results!$I$2:$I$300,dropout_results!$L$2:$L$300,"",0)</f>
        <v/>
      </c>
      <c r="H38" s="8"/>
      <c r="I38" s="8" t="str" cm="1">
        <f t="array" ref="I38">_xlfn.XLOOKUP($A38&amp;I$3&amp;$I$2&amp;$A$1,dropout_results!$C$2:$C$300&amp;dropout_results!$K$2:$K$300&amp;dropout_results!$J$2:$J$300&amp;dropout_results!$I$2:$I$300,dropout_results!$L$2:$L$300,"",0)</f>
        <v/>
      </c>
      <c r="J38" s="8" t="str" cm="1">
        <f t="array" ref="J38">_xlfn.XLOOKUP($A38&amp;J$3&amp;$I$2&amp;$A$1,dropout_results!$C$2:$C$300&amp;dropout_results!$K$2:$K$300&amp;dropout_results!$J$2:$J$300&amp;dropout_results!$I$2:$I$300,dropout_results!$L$2:$L$300,"",0)</f>
        <v/>
      </c>
    </row>
    <row r="39" spans="1:10" x14ac:dyDescent="0.25">
      <c r="A39" t="s">
        <v>158</v>
      </c>
      <c r="B39" t="s">
        <v>167</v>
      </c>
      <c r="C39" s="8" t="str" cm="1">
        <f t="array" ref="C39">_xlfn.XLOOKUP($A39&amp;C$3&amp;$C$2&amp;$A$1,dropout_results!$C$2:$C$300&amp;dropout_results!$K$2:$K$300&amp;dropout_results!$J$2:$J$300&amp;dropout_results!$I$2:$I$300,dropout_results!$L$2:$L$300,"",0)</f>
        <v/>
      </c>
      <c r="D39" s="8" t="str" cm="1">
        <f t="array" ref="D39">_xlfn.XLOOKUP($A39&amp;D$3&amp;$C$2&amp;$A$1,dropout_results!$C$2:$C$300&amp;dropout_results!$K$2:$K$300&amp;dropout_results!$J$2:$J$300&amp;dropout_results!$I$2:$I$300,dropout_results!$L$2:$L$300,"",0)</f>
        <v/>
      </c>
      <c r="E39" s="8"/>
      <c r="F39" s="8" t="str" cm="1">
        <f t="array" ref="F39">_xlfn.XLOOKUP($A39&amp;F$3&amp;$F$2&amp;$A$1,dropout_results!$C$2:$C$300&amp;dropout_results!$K$2:$K$300&amp;dropout_results!$J$2:$J$300&amp;dropout_results!$I$2:$I$300,dropout_results!$L$2:$L$300,"",0)</f>
        <v/>
      </c>
      <c r="G39" s="8" t="str" cm="1">
        <f t="array" ref="G39">_xlfn.XLOOKUP($A39&amp;G$3&amp;$F$2&amp;$A$1,dropout_results!$C$2:$C$300&amp;dropout_results!$K$2:$K$300&amp;dropout_results!$J$2:$J$300&amp;dropout_results!$I$2:$I$300,dropout_results!$L$2:$L$300,"",0)</f>
        <v/>
      </c>
      <c r="H39" s="8"/>
      <c r="I39" s="8" t="str" cm="1">
        <f t="array" ref="I39">_xlfn.XLOOKUP($A39&amp;I$3&amp;$I$2&amp;$A$1,dropout_results!$C$2:$C$300&amp;dropout_results!$K$2:$K$300&amp;dropout_results!$J$2:$J$300&amp;dropout_results!$I$2:$I$300,dropout_results!$L$2:$L$300,"",0)</f>
        <v/>
      </c>
      <c r="J39" s="8" t="str" cm="1">
        <f t="array" ref="J39">_xlfn.XLOOKUP($A39&amp;J$3&amp;$I$2&amp;$A$1,dropout_results!$C$2:$C$300&amp;dropout_results!$K$2:$K$300&amp;dropout_results!$J$2:$J$300&amp;dropout_results!$I$2:$I$300,dropout_results!$L$2:$L$300,"",0)</f>
        <v/>
      </c>
    </row>
    <row r="40" spans="1:10" x14ac:dyDescent="0.25">
      <c r="A40" t="s">
        <v>145</v>
      </c>
      <c r="B40" t="s">
        <v>155</v>
      </c>
      <c r="C40" s="8" t="str" cm="1">
        <f t="array" ref="C40">_xlfn.XLOOKUP($A40&amp;C$3&amp;$C$2&amp;$A$1,dropout_results!$C$2:$C$300&amp;dropout_results!$K$2:$K$300&amp;dropout_results!$J$2:$J$300&amp;dropout_results!$I$2:$I$300,dropout_results!$L$2:$L$300,"",0)</f>
        <v/>
      </c>
      <c r="D40" s="8" t="str" cm="1">
        <f t="array" ref="D40">_xlfn.XLOOKUP($A40&amp;D$3&amp;$C$2&amp;$A$1,dropout_results!$C$2:$C$300&amp;dropout_results!$K$2:$K$300&amp;dropout_results!$J$2:$J$300&amp;dropout_results!$I$2:$I$300,dropout_results!$L$2:$L$300,"",0)</f>
        <v/>
      </c>
      <c r="E40" s="8"/>
      <c r="F40" s="8" t="str" cm="1">
        <f t="array" ref="F40">_xlfn.XLOOKUP($A40&amp;F$3&amp;$F$2&amp;$A$1,dropout_results!$C$2:$C$300&amp;dropout_results!$K$2:$K$300&amp;dropout_results!$J$2:$J$300&amp;dropout_results!$I$2:$I$300,dropout_results!$L$2:$L$300,"",0)</f>
        <v/>
      </c>
      <c r="G40" s="8" t="str" cm="1">
        <f t="array" ref="G40">_xlfn.XLOOKUP($A40&amp;G$3&amp;$F$2&amp;$A$1,dropout_results!$C$2:$C$300&amp;dropout_results!$K$2:$K$300&amp;dropout_results!$J$2:$J$300&amp;dropout_results!$I$2:$I$300,dropout_results!$L$2:$L$300,"",0)</f>
        <v/>
      </c>
      <c r="H40" s="8"/>
      <c r="I40" s="8" t="str" cm="1">
        <f t="array" ref="I40">_xlfn.XLOOKUP($A40&amp;I$3&amp;$I$2&amp;$A$1,dropout_results!$C$2:$C$300&amp;dropout_results!$K$2:$K$300&amp;dropout_results!$J$2:$J$300&amp;dropout_results!$I$2:$I$300,dropout_results!$L$2:$L$300,"",0)</f>
        <v/>
      </c>
      <c r="J40" s="8" t="str" cm="1">
        <f t="array" ref="J40">_xlfn.XLOOKUP($A40&amp;J$3&amp;$I$2&amp;$A$1,dropout_results!$C$2:$C$300&amp;dropout_results!$K$2:$K$300&amp;dropout_results!$J$2:$J$300&amp;dropout_results!$I$2:$I$300,dropout_results!$L$2:$L$300,"",0)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C156-F5A1-4B59-934A-51522BBCD55B}">
  <sheetPr>
    <tabColor theme="6" tint="0.79998168889431442"/>
  </sheetPr>
  <dimension ref="A1:J40"/>
  <sheetViews>
    <sheetView tabSelected="1" topLeftCell="A6" zoomScaleNormal="100" workbookViewId="0">
      <selection activeCell="A2" sqref="A2:J40"/>
    </sheetView>
  </sheetViews>
  <sheetFormatPr defaultRowHeight="15" x14ac:dyDescent="0.25"/>
  <cols>
    <col min="1" max="1" width="39.140625" bestFit="1" customWidth="1"/>
    <col min="2" max="2" width="47" bestFit="1" customWidth="1"/>
    <col min="3" max="4" width="15.7109375" bestFit="1" customWidth="1"/>
    <col min="5" max="5" width="15.7109375" customWidth="1"/>
    <col min="6" max="7" width="15.7109375" bestFit="1" customWidth="1"/>
    <col min="8" max="8" width="15.7109375" customWidth="1"/>
    <col min="9" max="9" width="17.85546875" bestFit="1" customWidth="1"/>
    <col min="10" max="10" width="15.7109375" bestFit="1" customWidth="1"/>
  </cols>
  <sheetData>
    <row r="1" spans="1:10" x14ac:dyDescent="0.25">
      <c r="A1" s="8" t="s">
        <v>103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C2" t="s">
        <v>12</v>
      </c>
      <c r="F2" t="s">
        <v>104</v>
      </c>
      <c r="I2" t="s">
        <v>95</v>
      </c>
    </row>
    <row r="3" spans="1:10" x14ac:dyDescent="0.25">
      <c r="A3" t="s">
        <v>1</v>
      </c>
      <c r="C3" t="s">
        <v>13</v>
      </c>
      <c r="D3" t="s">
        <v>87</v>
      </c>
      <c r="F3" t="s">
        <v>13</v>
      </c>
      <c r="G3" t="s">
        <v>87</v>
      </c>
      <c r="I3" t="s">
        <v>13</v>
      </c>
      <c r="J3" t="s">
        <v>87</v>
      </c>
    </row>
    <row r="4" spans="1:10" s="8" customFormat="1" x14ac:dyDescent="0.25">
      <c r="A4" s="8" t="s">
        <v>14</v>
      </c>
      <c r="B4" s="8" t="s">
        <v>113</v>
      </c>
      <c r="C4" s="8" t="str" cm="1">
        <f t="array" ref="C4">_xlfn.XLOOKUP($A4&amp;C$3&amp;$C$2&amp;$A$1,dropout_results!$C$2:$C$300&amp;dropout_results!$K$2:$K$300&amp;dropout_results!$J$2:$J$300&amp;dropout_results!$I$2:$I$300,dropout_results!$L$2:$L$300,"",0)</f>
        <v>0.00[0.00,0.00]</v>
      </c>
      <c r="D4" s="8" t="str" cm="1">
        <f t="array" ref="D4">_xlfn.XLOOKUP($A4&amp;D$3&amp;$C$2&amp;$A$1,dropout_results!$C$2:$C$300&amp;dropout_results!$K$2:$K$300&amp;dropout_results!$J$2:$J$300&amp;dropout_results!$I$2:$I$300,dropout_results!$L$2:$L$300,"",0)</f>
        <v>0.00[0.00,0.00]</v>
      </c>
      <c r="F4" s="8" t="str" cm="1">
        <f t="array" ref="F4">_xlfn.XLOOKUP($A4&amp;F$3&amp;$F$2&amp;$A$1,dropout_results!$C$2:$C$300&amp;dropout_results!$K$2:$K$300&amp;dropout_results!$J$2:$J$300&amp;dropout_results!$I$2:$I$300,dropout_results!$L$2:$L$300,"",0)</f>
        <v>0.00[0.00,0.00]</v>
      </c>
      <c r="G4" s="8" t="str" cm="1">
        <f t="array" ref="G4">_xlfn.XLOOKUP($A4&amp;G$3&amp;$F$2&amp;$A$1,dropout_results!$C$2:$C$300&amp;dropout_results!$K$2:$K$300&amp;dropout_results!$J$2:$J$300&amp;dropout_results!$I$2:$I$300,dropout_results!$L$2:$L$300,"",0)</f>
        <v>0.00[0.00,0.00]</v>
      </c>
      <c r="I4" s="8" t="str" cm="1">
        <f t="array" ref="I4">_xlfn.XLOOKUP($A4&amp;I$3&amp;$I$2&amp;$A$1,dropout_results!$C$2:$C$300&amp;dropout_results!$K$2:$K$300&amp;dropout_results!$J$2:$J$300&amp;dropout_results!$I$2:$I$300,dropout_results!$L$2:$L$300,"",0)</f>
        <v>0.00[0.00,0.00]</v>
      </c>
      <c r="J4" s="8" t="str" cm="1">
        <f t="array" ref="J4">_xlfn.XLOOKUP($A4&amp;J$3&amp;$I$2&amp;$A$1,dropout_results!$C$2:$C$300&amp;dropout_results!$K$2:$K$300&amp;dropout_results!$J$2:$J$300&amp;dropout_results!$I$2:$I$300,dropout_results!$L$2:$L$300,"",0)</f>
        <v>0.00[0.00,0.00]</v>
      </c>
    </row>
    <row r="5" spans="1:10" x14ac:dyDescent="0.25">
      <c r="A5" t="s">
        <v>15</v>
      </c>
      <c r="B5" t="s">
        <v>114</v>
      </c>
      <c r="C5" s="8" t="str" cm="1">
        <f t="array" ref="C5">_xlfn.XLOOKUP($A5&amp;C$3&amp;$C$2&amp;$A$1,dropout_results!$C$2:$C$300&amp;dropout_results!$K$2:$K$300&amp;dropout_results!$J$2:$J$300&amp;dropout_results!$I$2:$I$300,dropout_results!$L$2:$L$300,"",0)</f>
        <v>35.97[9.41,62.54]</v>
      </c>
      <c r="D5" s="8" t="str" cm="1">
        <f t="array" ref="D5">_xlfn.XLOOKUP($A5&amp;D$3&amp;$C$2&amp;$A$1,dropout_results!$C$2:$C$300&amp;dropout_results!$K$2:$K$300&amp;dropout_results!$J$2:$J$300&amp;dropout_results!$I$2:$I$300,dropout_results!$L$2:$L$300,"",0)</f>
        <v>32.38[5.96,58.80]</v>
      </c>
      <c r="E5" s="8"/>
      <c r="F5" s="8" t="str" cm="1">
        <f t="array" ref="F5">_xlfn.XLOOKUP($A5&amp;F$3&amp;$F$2&amp;$A$1,dropout_results!$C$2:$C$300&amp;dropout_results!$K$2:$K$300&amp;dropout_results!$J$2:$J$300&amp;dropout_results!$I$2:$I$300,dropout_results!$L$2:$L$300,"",0)</f>
        <v/>
      </c>
      <c r="G5" s="8" t="str" cm="1">
        <f t="array" ref="G5">_xlfn.XLOOKUP($A5&amp;G$3&amp;$F$2&amp;$A$1,dropout_results!$C$2:$C$300&amp;dropout_results!$K$2:$K$300&amp;dropout_results!$J$2:$J$300&amp;dropout_results!$I$2:$I$300,dropout_results!$L$2:$L$300,"",0)</f>
        <v/>
      </c>
      <c r="H5" s="8"/>
      <c r="I5" s="8" t="str" cm="1">
        <f t="array" ref="I5">_xlfn.XLOOKUP($A5&amp;I$3&amp;$I$2&amp;$A$1,dropout_results!$C$2:$C$300&amp;dropout_results!$K$2:$K$300&amp;dropout_results!$J$2:$J$300&amp;dropout_results!$I$2:$I$300,dropout_results!$L$2:$L$300,"",0)</f>
        <v>10.87[-0.44,22.18]</v>
      </c>
      <c r="J5" s="8" t="str" cm="1">
        <f t="array" ref="J5">_xlfn.XLOOKUP($A5&amp;J$3&amp;$I$2&amp;$A$1,dropout_results!$C$2:$C$300&amp;dropout_results!$K$2:$K$300&amp;dropout_results!$J$2:$J$300&amp;dropout_results!$I$2:$I$300,dropout_results!$L$2:$L$300,"",0)</f>
        <v>-9.80[-19.06,-0.54]</v>
      </c>
    </row>
    <row r="6" spans="1:10" x14ac:dyDescent="0.25">
      <c r="A6" t="s">
        <v>16</v>
      </c>
      <c r="B6" t="s">
        <v>115</v>
      </c>
      <c r="C6" s="8" t="str" cm="1">
        <f t="array" ref="C6">_xlfn.XLOOKUP($A6&amp;C$3&amp;$C$2&amp;$A$1,dropout_results!$C$2:$C$300&amp;dropout_results!$K$2:$K$300&amp;dropout_results!$J$2:$J$300&amp;dropout_results!$I$2:$I$300,dropout_results!$L$2:$L$300,"",0)</f>
        <v>30.79[3.25,58.33]</v>
      </c>
      <c r="D6" s="8" t="str" cm="1">
        <f t="array" ref="D6">_xlfn.XLOOKUP($A6&amp;D$3&amp;$C$2&amp;$A$1,dropout_results!$C$2:$C$300&amp;dropout_results!$K$2:$K$300&amp;dropout_results!$J$2:$J$300&amp;dropout_results!$I$2:$I$300,dropout_results!$L$2:$L$300,"",0)</f>
        <v>34.03[6.13,61.93]</v>
      </c>
      <c r="E6" s="8"/>
      <c r="F6" s="8" t="str" cm="1">
        <f t="array" ref="F6">_xlfn.XLOOKUP($A6&amp;F$3&amp;$F$2&amp;$A$1,dropout_results!$C$2:$C$300&amp;dropout_results!$K$2:$K$300&amp;dropout_results!$J$2:$J$300&amp;dropout_results!$I$2:$I$300,dropout_results!$L$2:$L$300,"",0)</f>
        <v/>
      </c>
      <c r="G6" s="8" t="str" cm="1">
        <f t="array" ref="G6">_xlfn.XLOOKUP($A6&amp;G$3&amp;$F$2&amp;$A$1,dropout_results!$C$2:$C$300&amp;dropout_results!$K$2:$K$300&amp;dropout_results!$J$2:$J$300&amp;dropout_results!$I$2:$I$300,dropout_results!$L$2:$L$300,"",0)</f>
        <v/>
      </c>
      <c r="H6" s="8"/>
      <c r="I6" s="8" t="str" cm="1">
        <f t="array" ref="I6">_xlfn.XLOOKUP($A6&amp;I$3&amp;$I$2&amp;$A$1,dropout_results!$C$2:$C$300&amp;dropout_results!$K$2:$K$300&amp;dropout_results!$J$2:$J$300&amp;dropout_results!$I$2:$I$300,dropout_results!$L$2:$L$300,"",0)</f>
        <v/>
      </c>
      <c r="J6" s="8" t="str" cm="1">
        <f t="array" ref="J6">_xlfn.XLOOKUP($A6&amp;J$3&amp;$I$2&amp;$A$1,dropout_results!$C$2:$C$300&amp;dropout_results!$K$2:$K$300&amp;dropout_results!$J$2:$J$300&amp;dropout_results!$I$2:$I$300,dropout_results!$L$2:$L$300,"",0)</f>
        <v/>
      </c>
    </row>
    <row r="7" spans="1:10" s="8" customFormat="1" x14ac:dyDescent="0.25">
      <c r="A7" s="8" t="s">
        <v>17</v>
      </c>
      <c r="B7" s="8" t="s">
        <v>116</v>
      </c>
      <c r="C7" s="8" t="str" cm="1">
        <f t="array" ref="C7">_xlfn.XLOOKUP($A7&amp;C$3&amp;$C$2&amp;$A$1,dropout_results!$C$2:$C$300&amp;dropout_results!$K$2:$K$300&amp;dropout_results!$J$2:$J$300&amp;dropout_results!$I$2:$I$300,dropout_results!$L$2:$L$300,"",0)</f>
        <v>6.69[0.05,13.34]</v>
      </c>
      <c r="D7" s="8" t="str" cm="1">
        <f t="array" ref="D7">_xlfn.XLOOKUP($A7&amp;D$3&amp;$C$2&amp;$A$1,dropout_results!$C$2:$C$300&amp;dropout_results!$K$2:$K$300&amp;dropout_results!$J$2:$J$300&amp;dropout_results!$I$2:$I$300,dropout_results!$L$2:$L$300,"",0)</f>
        <v>7.06[0.45,13.68]</v>
      </c>
      <c r="F7" s="8" t="str" cm="1">
        <f t="array" ref="F7">_xlfn.XLOOKUP($A7&amp;F$3&amp;$F$2&amp;$A$1,dropout_results!$C$2:$C$300&amp;dropout_results!$K$2:$K$300&amp;dropout_results!$J$2:$J$300&amp;dropout_results!$I$2:$I$300,dropout_results!$L$2:$L$300,"",0)</f>
        <v/>
      </c>
      <c r="G7" s="8" t="str" cm="1">
        <f t="array" ref="G7">_xlfn.XLOOKUP($A7&amp;G$3&amp;$F$2&amp;$A$1,dropout_results!$C$2:$C$300&amp;dropout_results!$K$2:$K$300&amp;dropout_results!$J$2:$J$300&amp;dropout_results!$I$2:$I$300,dropout_results!$L$2:$L$300,"",0)</f>
        <v/>
      </c>
      <c r="I7" s="8" t="str" cm="1">
        <f t="array" ref="I7">_xlfn.XLOOKUP($A7&amp;I$3&amp;$I$2&amp;$A$1,dropout_results!$C$2:$C$300&amp;dropout_results!$K$2:$K$300&amp;dropout_results!$J$2:$J$300&amp;dropout_results!$I$2:$I$300,dropout_results!$L$2:$L$300,"",0)</f>
        <v>5.42[-0.46,11.31]</v>
      </c>
      <c r="J7" s="8" t="str" cm="1">
        <f t="array" ref="J7">_xlfn.XLOOKUP($A7&amp;J$3&amp;$I$2&amp;$A$1,dropout_results!$C$2:$C$300&amp;dropout_results!$K$2:$K$300&amp;dropout_results!$J$2:$J$300&amp;dropout_results!$I$2:$I$300,dropout_results!$L$2:$L$300,"",0)</f>
        <v>4.42[-1.59,10.44]</v>
      </c>
    </row>
    <row r="8" spans="1:10" x14ac:dyDescent="0.25">
      <c r="A8" t="s">
        <v>18</v>
      </c>
      <c r="B8" t="s">
        <v>118</v>
      </c>
      <c r="C8" s="8" t="str" cm="1">
        <f t="array" ref="C8">_xlfn.XLOOKUP($A8&amp;C$3&amp;$C$2&amp;$A$1,dropout_results!$C$2:$C$300&amp;dropout_results!$K$2:$K$300&amp;dropout_results!$J$2:$J$300&amp;dropout_results!$I$2:$I$300,dropout_results!$L$2:$L$300,"",0)</f>
        <v>-4.77[-26.83,17.29]</v>
      </c>
      <c r="D8" s="8" t="str" cm="1">
        <f t="array" ref="D8">_xlfn.XLOOKUP($A8&amp;D$3&amp;$C$2&amp;$A$1,dropout_results!$C$2:$C$300&amp;dropout_results!$K$2:$K$300&amp;dropout_results!$J$2:$J$300&amp;dropout_results!$I$2:$I$300,dropout_results!$L$2:$L$300,"",0)</f>
        <v>-3.74[-25.29,17.80]</v>
      </c>
      <c r="E8" s="8"/>
      <c r="F8" s="8" t="str" cm="1">
        <f t="array" ref="F8">_xlfn.XLOOKUP($A8&amp;F$3&amp;$F$2&amp;$A$1,dropout_results!$C$2:$C$300&amp;dropout_results!$K$2:$K$300&amp;dropout_results!$J$2:$J$300&amp;dropout_results!$I$2:$I$300,dropout_results!$L$2:$L$300,"",0)</f>
        <v/>
      </c>
      <c r="G8" s="8" t="str" cm="1">
        <f t="array" ref="G8">_xlfn.XLOOKUP($A8&amp;G$3&amp;$F$2&amp;$A$1,dropout_results!$C$2:$C$300&amp;dropout_results!$K$2:$K$300&amp;dropout_results!$J$2:$J$300&amp;dropout_results!$I$2:$I$300,dropout_results!$L$2:$L$300,"",0)</f>
        <v/>
      </c>
      <c r="H8" s="8"/>
      <c r="I8" s="8" t="str" cm="1">
        <f t="array" ref="I8">_xlfn.XLOOKUP($A8&amp;I$3&amp;$I$2&amp;$A$1,dropout_results!$C$2:$C$300&amp;dropout_results!$K$2:$K$300&amp;dropout_results!$J$2:$J$300&amp;dropout_results!$I$2:$I$300,dropout_results!$L$2:$L$300,"",0)</f>
        <v/>
      </c>
      <c r="J8" s="8" t="str" cm="1">
        <f t="array" ref="J8">_xlfn.XLOOKUP($A8&amp;J$3&amp;$I$2&amp;$A$1,dropout_results!$C$2:$C$300&amp;dropout_results!$K$2:$K$300&amp;dropout_results!$J$2:$J$300&amp;dropout_results!$I$2:$I$300,dropout_results!$L$2:$L$300,"",0)</f>
        <v/>
      </c>
    </row>
    <row r="9" spans="1:10" x14ac:dyDescent="0.25">
      <c r="A9" s="5" t="s">
        <v>19</v>
      </c>
      <c r="B9" s="5" t="s">
        <v>117</v>
      </c>
      <c r="C9" s="5" t="str" cm="1">
        <f t="array" ref="C9">_xlfn.XLOOKUP($A9&amp;C$3&amp;$C$2&amp;$A$1,dropout_results!$C$2:$C$300&amp;dropout_results!$K$2:$K$300&amp;dropout_results!$J$2:$J$300&amp;dropout_results!$I$2:$I$300,dropout_results!$L$2:$L$300,"",0)</f>
        <v>23.02[19.69,26.36]</v>
      </c>
      <c r="D9" s="5" t="str" cm="1">
        <f t="array" ref="D9">_xlfn.XLOOKUP($A9&amp;D$3&amp;$C$2&amp;$A$1,dropout_results!$C$2:$C$300&amp;dropout_results!$K$2:$K$300&amp;dropout_results!$J$2:$J$300&amp;dropout_results!$I$2:$I$300,dropout_results!$L$2:$L$300,"",0)</f>
        <v>22.29[19.01,25.56]</v>
      </c>
      <c r="E9" s="5"/>
      <c r="F9" s="5" t="str" cm="1">
        <f t="array" ref="F9">_xlfn.XLOOKUP($A9&amp;F$3&amp;$F$2&amp;$A$1,dropout_results!$C$2:$C$300&amp;dropout_results!$K$2:$K$300&amp;dropout_results!$J$2:$J$300&amp;dropout_results!$I$2:$I$300,dropout_results!$L$2:$L$300,"",0)</f>
        <v>25.42[22.58,28.26]</v>
      </c>
      <c r="G9" s="5" t="str" cm="1">
        <f t="array" ref="G9">_xlfn.XLOOKUP($A9&amp;G$3&amp;$F$2&amp;$A$1,dropout_results!$C$2:$C$300&amp;dropout_results!$K$2:$K$300&amp;dropout_results!$J$2:$J$300&amp;dropout_results!$I$2:$I$300,dropout_results!$L$2:$L$300,"",0)</f>
        <v>25.11[22.29,27.92]</v>
      </c>
      <c r="H9" s="5"/>
      <c r="I9" s="5" t="str" cm="1">
        <f t="array" ref="I9">_xlfn.XLOOKUP($A9&amp;I$3&amp;$I$2&amp;$A$1,dropout_results!$C$2:$C$300&amp;dropout_results!$K$2:$K$300&amp;dropout_results!$J$2:$J$300&amp;dropout_results!$I$2:$I$300,dropout_results!$L$2:$L$300,"",0)</f>
        <v>20.34[17.21,23.47]</v>
      </c>
      <c r="J9" s="5" t="str" cm="1">
        <f t="array" ref="J9">_xlfn.XLOOKUP($A9&amp;J$3&amp;$I$2&amp;$A$1,dropout_results!$C$2:$C$300&amp;dropout_results!$K$2:$K$300&amp;dropout_results!$J$2:$J$300&amp;dropout_results!$I$2:$I$300,dropout_results!$L$2:$L$300,"",0)</f>
        <v>23.42[20.57,26.26]</v>
      </c>
    </row>
    <row r="10" spans="1:10" x14ac:dyDescent="0.25">
      <c r="A10" s="5" t="s">
        <v>20</v>
      </c>
      <c r="B10" s="5" t="s">
        <v>137</v>
      </c>
      <c r="C10" s="5" t="str" cm="1">
        <f t="array" ref="C10">_xlfn.XLOOKUP($A10&amp;C$3&amp;$C$2&amp;$A$1,dropout_results!$C$2:$C$300&amp;dropout_results!$K$2:$K$300&amp;dropout_results!$J$2:$J$300&amp;dropout_results!$I$2:$I$300,dropout_results!$L$2:$L$300,"",0)</f>
        <v>23.91[14.85,32.97]</v>
      </c>
      <c r="D10" s="5" t="str" cm="1">
        <f t="array" ref="D10">_xlfn.XLOOKUP($A10&amp;D$3&amp;$C$2&amp;$A$1,dropout_results!$C$2:$C$300&amp;dropout_results!$K$2:$K$300&amp;dropout_results!$J$2:$J$300&amp;dropout_results!$I$2:$I$300,dropout_results!$L$2:$L$300,"",0)</f>
        <v>23.40[14.40,32.41]</v>
      </c>
      <c r="E10" s="5"/>
      <c r="F10" s="5" t="str" cm="1">
        <f t="array" ref="F10">_xlfn.XLOOKUP($A10&amp;F$3&amp;$F$2&amp;$A$1,dropout_results!$C$2:$C$300&amp;dropout_results!$K$2:$K$300&amp;dropout_results!$J$2:$J$300&amp;dropout_results!$I$2:$I$300,dropout_results!$L$2:$L$300,"",0)</f>
        <v>26.12[19.36,32.88]</v>
      </c>
      <c r="G10" s="5" t="str" cm="1">
        <f t="array" ref="G10">_xlfn.XLOOKUP($A10&amp;G$3&amp;$F$2&amp;$A$1,dropout_results!$C$2:$C$300&amp;dropout_results!$K$2:$K$300&amp;dropout_results!$J$2:$J$300&amp;dropout_results!$I$2:$I$300,dropout_results!$L$2:$L$300,"",0)</f>
        <v>25.64[18.59,32.68]</v>
      </c>
      <c r="H10" s="5"/>
      <c r="I10" s="5" t="str" cm="1">
        <f t="array" ref="I10">_xlfn.XLOOKUP($A10&amp;I$3&amp;$I$2&amp;$A$1,dropout_results!$C$2:$C$300&amp;dropout_results!$K$2:$K$300&amp;dropout_results!$J$2:$J$300&amp;dropout_results!$I$2:$I$300,dropout_results!$L$2:$L$300,"",0)</f>
        <v>24.24[17.36,31.12]</v>
      </c>
      <c r="J10" s="5" t="str" cm="1">
        <f t="array" ref="J10">_xlfn.XLOOKUP($A10&amp;J$3&amp;$I$2&amp;$A$1,dropout_results!$C$2:$C$300&amp;dropout_results!$K$2:$K$300&amp;dropout_results!$J$2:$J$300&amp;dropout_results!$I$2:$I$300,dropout_results!$L$2:$L$300,"",0)</f>
        <v>26.67[19.53,33.81]</v>
      </c>
    </row>
    <row r="11" spans="1:10" x14ac:dyDescent="0.25">
      <c r="A11" t="s">
        <v>21</v>
      </c>
      <c r="B11" t="s">
        <v>119</v>
      </c>
      <c r="C11" s="8" t="str" cm="1">
        <f t="array" ref="C11">_xlfn.XLOOKUP($A11&amp;C$3&amp;$C$2&amp;$A$1,dropout_results!$C$2:$C$300&amp;dropout_results!$K$2:$K$300&amp;dropout_results!$J$2:$J$300&amp;dropout_results!$I$2:$I$300,dropout_results!$L$2:$L$300,"",0)</f>
        <v>8.18[-9.09,25.44]</v>
      </c>
      <c r="D11" s="8" t="str" cm="1">
        <f t="array" ref="D11">_xlfn.XLOOKUP($A11&amp;D$3&amp;$C$2&amp;$A$1,dropout_results!$C$2:$C$300&amp;dropout_results!$K$2:$K$300&amp;dropout_results!$J$2:$J$300&amp;dropout_results!$I$2:$I$300,dropout_results!$L$2:$L$300,"",0)</f>
        <v>7.54[-9.65,24.73]</v>
      </c>
      <c r="E11" s="8"/>
      <c r="F11" s="8" t="str" cm="1">
        <f t="array" ref="F11">_xlfn.XLOOKUP($A11&amp;F$3&amp;$F$2&amp;$A$1,dropout_results!$C$2:$C$300&amp;dropout_results!$K$2:$K$300&amp;dropout_results!$J$2:$J$300&amp;dropout_results!$I$2:$I$300,dropout_results!$L$2:$L$300,"",0)</f>
        <v/>
      </c>
      <c r="G11" s="8" t="str" cm="1">
        <f t="array" ref="G11">_xlfn.XLOOKUP($A11&amp;G$3&amp;$F$2&amp;$A$1,dropout_results!$C$2:$C$300&amp;dropout_results!$K$2:$K$300&amp;dropout_results!$J$2:$J$300&amp;dropout_results!$I$2:$I$300,dropout_results!$L$2:$L$300,"",0)</f>
        <v/>
      </c>
      <c r="H11" s="8"/>
      <c r="I11" s="8" t="str" cm="1">
        <f t="array" ref="I11">_xlfn.XLOOKUP($A11&amp;I$3&amp;$I$2&amp;$A$1,dropout_results!$C$2:$C$300&amp;dropout_results!$K$2:$K$300&amp;dropout_results!$J$2:$J$300&amp;dropout_results!$I$2:$I$300,dropout_results!$L$2:$L$300,"",0)</f>
        <v/>
      </c>
      <c r="J11" s="8" t="str" cm="1">
        <f t="array" ref="J11">_xlfn.XLOOKUP($A11&amp;J$3&amp;$I$2&amp;$A$1,dropout_results!$C$2:$C$300&amp;dropout_results!$K$2:$K$300&amp;dropout_results!$J$2:$J$300&amp;dropout_results!$I$2:$I$300,dropout_results!$L$2:$L$300,"",0)</f>
        <v/>
      </c>
    </row>
    <row r="12" spans="1:10" x14ac:dyDescent="0.25">
      <c r="A12" t="s">
        <v>22</v>
      </c>
      <c r="B12" t="s">
        <v>120</v>
      </c>
      <c r="C12" s="8" t="str" cm="1">
        <f t="array" ref="C12">_xlfn.XLOOKUP($A12&amp;C$3&amp;$C$2&amp;$A$1,dropout_results!$C$2:$C$300&amp;dropout_results!$K$2:$K$300&amp;dropout_results!$J$2:$J$300&amp;dropout_results!$I$2:$I$300,dropout_results!$L$2:$L$300,"",0)</f>
        <v>0.00[-0.17,0.16]</v>
      </c>
      <c r="D12" s="8" t="str" cm="1">
        <f t="array" ref="D12">_xlfn.XLOOKUP($A12&amp;D$3&amp;$C$2&amp;$A$1,dropout_results!$C$2:$C$300&amp;dropout_results!$K$2:$K$300&amp;dropout_results!$J$2:$J$300&amp;dropout_results!$I$2:$I$300,dropout_results!$L$2:$L$300,"",0)</f>
        <v>-0.02[-0.18,0.15]</v>
      </c>
      <c r="E12" s="8"/>
      <c r="F12" s="8" t="str" cm="1">
        <f t="array" ref="F12">_xlfn.XLOOKUP($A12&amp;F$3&amp;$F$2&amp;$A$1,dropout_results!$C$2:$C$300&amp;dropout_results!$K$2:$K$300&amp;dropout_results!$J$2:$J$300&amp;dropout_results!$I$2:$I$300,dropout_results!$L$2:$L$300,"",0)</f>
        <v>0.16[0.06,0.27]</v>
      </c>
      <c r="G12" s="8" t="str" cm="1">
        <f t="array" ref="G12">_xlfn.XLOOKUP($A12&amp;G$3&amp;$F$2&amp;$A$1,dropout_results!$C$2:$C$300&amp;dropout_results!$K$2:$K$300&amp;dropout_results!$J$2:$J$300&amp;dropout_results!$I$2:$I$300,dropout_results!$L$2:$L$300,"",0)</f>
        <v>0.14[0.03,0.25]</v>
      </c>
      <c r="H12" s="8"/>
      <c r="I12" s="8" t="str" cm="1">
        <f t="array" ref="I12">_xlfn.XLOOKUP($A12&amp;I$3&amp;$I$2&amp;$A$1,dropout_results!$C$2:$C$300&amp;dropout_results!$K$2:$K$300&amp;dropout_results!$J$2:$J$300&amp;dropout_results!$I$2:$I$300,dropout_results!$L$2:$L$300,"",0)</f>
        <v/>
      </c>
      <c r="J12" s="8" t="str" cm="1">
        <f t="array" ref="J12">_xlfn.XLOOKUP($A12&amp;J$3&amp;$I$2&amp;$A$1,dropout_results!$C$2:$C$300&amp;dropout_results!$K$2:$K$300&amp;dropout_results!$J$2:$J$300&amp;dropout_results!$I$2:$I$300,dropout_results!$L$2:$L$300,"",0)</f>
        <v/>
      </c>
    </row>
    <row r="13" spans="1:10" x14ac:dyDescent="0.25">
      <c r="A13" s="2" t="s">
        <v>23</v>
      </c>
      <c r="B13" s="2" t="s">
        <v>121</v>
      </c>
      <c r="C13" s="2" t="str" cm="1">
        <f t="array" ref="C13">_xlfn.XLOOKUP($A13&amp;C$3&amp;$C$2&amp;$A$1,dropout_results!$C$2:$C$300&amp;dropout_results!$K$2:$K$300&amp;dropout_results!$J$2:$J$300&amp;dropout_results!$I$2:$I$300,dropout_results!$L$2:$L$300,"",0)</f>
        <v>-32.15[-49.49,-14.82]</v>
      </c>
      <c r="D13" s="2" t="str" cm="1">
        <f t="array" ref="D13">_xlfn.XLOOKUP($A13&amp;D$3&amp;$C$2&amp;$A$1,dropout_results!$C$2:$C$300&amp;dropout_results!$K$2:$K$300&amp;dropout_results!$J$2:$J$300&amp;dropout_results!$I$2:$I$300,dropout_results!$L$2:$L$300,"",0)</f>
        <v>-38.58[-56.21,-20.96]</v>
      </c>
      <c r="E13" s="2"/>
      <c r="F13" s="2" t="str" cm="1">
        <f t="array" ref="F13">_xlfn.XLOOKUP($A13&amp;F$3&amp;$F$2&amp;$A$1,dropout_results!$C$2:$C$300&amp;dropout_results!$K$2:$K$300&amp;dropout_results!$J$2:$J$300&amp;dropout_results!$I$2:$I$300,dropout_results!$L$2:$L$300,"",0)</f>
        <v>-42.05[-57.11,-27.00]</v>
      </c>
      <c r="G13" s="2" t="str" cm="1">
        <f t="array" ref="G13">_xlfn.XLOOKUP($A13&amp;G$3&amp;$F$2&amp;$A$1,dropout_results!$C$2:$C$300&amp;dropout_results!$K$2:$K$300&amp;dropout_results!$J$2:$J$300&amp;dropout_results!$I$2:$I$300,dropout_results!$L$2:$L$300,"",0)</f>
        <v>-40.41[-55.54,-25.29]</v>
      </c>
      <c r="H13" s="2"/>
      <c r="I13" s="2" t="str" cm="1">
        <f t="array" ref="I13">_xlfn.XLOOKUP($A13&amp;I$3&amp;$I$2&amp;$A$1,dropout_results!$C$2:$C$300&amp;dropout_results!$K$2:$K$300&amp;dropout_results!$J$2:$J$300&amp;dropout_results!$I$2:$I$300,dropout_results!$L$2:$L$300,"",0)</f>
        <v>-42.10[-62.91,-21.28]</v>
      </c>
      <c r="J13" s="2" t="str" cm="1">
        <f t="array" ref="J13">_xlfn.XLOOKUP($A13&amp;J$3&amp;$I$2&amp;$A$1,dropout_results!$C$2:$C$300&amp;dropout_results!$K$2:$K$300&amp;dropout_results!$J$2:$J$300&amp;dropout_results!$I$2:$I$300,dropout_results!$L$2:$L$300,"",0)</f>
        <v>-58.04[-78.43,-37.66]</v>
      </c>
    </row>
    <row r="14" spans="1:10" x14ac:dyDescent="0.25">
      <c r="A14" s="8" t="s">
        <v>24</v>
      </c>
      <c r="B14" s="8" t="s">
        <v>122</v>
      </c>
      <c r="C14" s="8" t="str" cm="1">
        <f t="array" ref="C14">_xlfn.XLOOKUP($A14&amp;C$3&amp;$C$2&amp;$A$1,dropout_results!$C$2:$C$300&amp;dropout_results!$K$2:$K$300&amp;dropout_results!$J$2:$J$300&amp;dropout_results!$I$2:$I$300,dropout_results!$L$2:$L$300,"",0)</f>
        <v>5.50[-10.84,21.84]</v>
      </c>
      <c r="D14" s="8" t="str" cm="1">
        <f t="array" ref="D14">_xlfn.XLOOKUP($A14&amp;D$3&amp;$C$2&amp;$A$1,dropout_results!$C$2:$C$300&amp;dropout_results!$K$2:$K$300&amp;dropout_results!$J$2:$J$300&amp;dropout_results!$I$2:$I$300,dropout_results!$L$2:$L$300,"",0)</f>
        <v>-1.50[-18.53,15.54]</v>
      </c>
      <c r="E14" s="8"/>
      <c r="F14" s="8" t="str" cm="1">
        <f t="array" ref="F14">_xlfn.XLOOKUP($A14&amp;F$3&amp;$F$2&amp;$A$1,dropout_results!$C$2:$C$300&amp;dropout_results!$K$2:$K$300&amp;dropout_results!$J$2:$J$300&amp;dropout_results!$I$2:$I$300,dropout_results!$L$2:$L$300,"",0)</f>
        <v/>
      </c>
      <c r="G14" s="8" t="str" cm="1">
        <f t="array" ref="G14">_xlfn.XLOOKUP($A14&amp;G$3&amp;$F$2&amp;$A$1,dropout_results!$C$2:$C$300&amp;dropout_results!$K$2:$K$300&amp;dropout_results!$J$2:$J$300&amp;dropout_results!$I$2:$I$300,dropout_results!$L$2:$L$300,"",0)</f>
        <v/>
      </c>
      <c r="H14" s="8"/>
      <c r="I14" s="8" t="str" cm="1">
        <f t="array" ref="I14">_xlfn.XLOOKUP($A14&amp;I$3&amp;$I$2&amp;$A$1,dropout_results!$C$2:$C$300&amp;dropout_results!$K$2:$K$300&amp;dropout_results!$J$2:$J$300&amp;dropout_results!$I$2:$I$300,dropout_results!$L$2:$L$300,"",0)</f>
        <v>29.58[8.42,50.75]</v>
      </c>
      <c r="J14" s="8" t="str" cm="1">
        <f t="array" ref="J14">_xlfn.XLOOKUP($A14&amp;J$3&amp;$I$2&amp;$A$1,dropout_results!$C$2:$C$300&amp;dropout_results!$K$2:$K$300&amp;dropout_results!$J$2:$J$300&amp;dropout_results!$I$2:$I$300,dropout_results!$L$2:$L$300,"",0)</f>
        <v/>
      </c>
    </row>
    <row r="15" spans="1:10" x14ac:dyDescent="0.25">
      <c r="A15" t="s">
        <v>25</v>
      </c>
      <c r="B15" t="s">
        <v>123</v>
      </c>
      <c r="C15" s="8" t="str" cm="1">
        <f t="array" ref="C15">_xlfn.XLOOKUP($A15&amp;C$3&amp;$C$2&amp;$A$1,dropout_results!$C$2:$C$300&amp;dropout_results!$K$2:$K$300&amp;dropout_results!$J$2:$J$300&amp;dropout_results!$I$2:$I$300,dropout_results!$L$2:$L$300,"",0)</f>
        <v>0.00[0.00,0.00]</v>
      </c>
      <c r="D15" s="8" t="str" cm="1">
        <f t="array" ref="D15">_xlfn.XLOOKUP($A15&amp;D$3&amp;$C$2&amp;$A$1,dropout_results!$C$2:$C$300&amp;dropout_results!$K$2:$K$300&amp;dropout_results!$J$2:$J$300&amp;dropout_results!$I$2:$I$300,dropout_results!$L$2:$L$300,"",0)</f>
        <v>0.00[0.00,0.00]</v>
      </c>
      <c r="E15" s="8"/>
      <c r="F15" s="8" t="str" cm="1">
        <f t="array" ref="F15">_xlfn.XLOOKUP($A15&amp;F$3&amp;$F$2&amp;$A$1,dropout_results!$C$2:$C$300&amp;dropout_results!$K$2:$K$300&amp;dropout_results!$J$2:$J$300&amp;dropout_results!$I$2:$I$300,dropout_results!$L$2:$L$300,"",0)</f>
        <v/>
      </c>
      <c r="G15" s="8" t="str" cm="1">
        <f t="array" ref="G15">_xlfn.XLOOKUP($A15&amp;G$3&amp;$F$2&amp;$A$1,dropout_results!$C$2:$C$300&amp;dropout_results!$K$2:$K$300&amp;dropout_results!$J$2:$J$300&amp;dropout_results!$I$2:$I$300,dropout_results!$L$2:$L$300,"",0)</f>
        <v/>
      </c>
      <c r="H15" s="8"/>
      <c r="I15" s="8" t="str" cm="1">
        <f t="array" ref="I15">_xlfn.XLOOKUP($A15&amp;I$3&amp;$I$2&amp;$A$1,dropout_results!$C$2:$C$300&amp;dropout_results!$K$2:$K$300&amp;dropout_results!$J$2:$J$300&amp;dropout_results!$I$2:$I$300,dropout_results!$L$2:$L$300,"",0)</f>
        <v/>
      </c>
      <c r="J15" s="8" t="str" cm="1">
        <f t="array" ref="J15">_xlfn.XLOOKUP($A15&amp;J$3&amp;$I$2&amp;$A$1,dropout_results!$C$2:$C$300&amp;dropout_results!$K$2:$K$300&amp;dropout_results!$J$2:$J$300&amp;dropout_results!$I$2:$I$300,dropout_results!$L$2:$L$300,"",0)</f>
        <v/>
      </c>
    </row>
    <row r="16" spans="1:10" x14ac:dyDescent="0.25">
      <c r="A16" t="s">
        <v>26</v>
      </c>
      <c r="B16" t="s">
        <v>119</v>
      </c>
      <c r="C16" s="8" t="str" cm="1">
        <f t="array" ref="C16">_xlfn.XLOOKUP($A16&amp;C$3&amp;$C$2&amp;$A$1,dropout_results!$C$2:$C$300&amp;dropout_results!$K$2:$K$300&amp;dropout_results!$J$2:$J$300&amp;dropout_results!$I$2:$I$300,dropout_results!$L$2:$L$300,"",0)</f>
        <v>0.01[-0.06,0.08]</v>
      </c>
      <c r="D16" s="8" t="str" cm="1">
        <f t="array" ref="D16">_xlfn.XLOOKUP($A16&amp;D$3&amp;$C$2&amp;$A$1,dropout_results!$C$2:$C$300&amp;dropout_results!$K$2:$K$300&amp;dropout_results!$J$2:$J$300&amp;dropout_results!$I$2:$I$300,dropout_results!$L$2:$L$300,"",0)</f>
        <v>-0.02[-0.19,0.14]</v>
      </c>
      <c r="E16" s="8"/>
      <c r="F16" s="8" t="str" cm="1">
        <f t="array" ref="F16">_xlfn.XLOOKUP($A16&amp;F$3&amp;$F$2&amp;$A$1,dropout_results!$C$2:$C$300&amp;dropout_results!$K$2:$K$300&amp;dropout_results!$J$2:$J$300&amp;dropout_results!$I$2:$I$300,dropout_results!$L$2:$L$300,"",0)</f>
        <v/>
      </c>
      <c r="G16" s="8" t="str" cm="1">
        <f t="array" ref="G16">_xlfn.XLOOKUP($A16&amp;G$3&amp;$F$2&amp;$A$1,dropout_results!$C$2:$C$300&amp;dropout_results!$K$2:$K$300&amp;dropout_results!$J$2:$J$300&amp;dropout_results!$I$2:$I$300,dropout_results!$L$2:$L$300,"",0)</f>
        <v/>
      </c>
      <c r="H16" s="8"/>
      <c r="I16" s="8" t="str" cm="1">
        <f t="array" ref="I16">_xlfn.XLOOKUP($A16&amp;I$3&amp;$I$2&amp;$A$1,dropout_results!$C$2:$C$300&amp;dropout_results!$K$2:$K$300&amp;dropout_results!$J$2:$J$300&amp;dropout_results!$I$2:$I$300,dropout_results!$L$2:$L$300,"",0)</f>
        <v/>
      </c>
      <c r="J16" s="8" t="str" cm="1">
        <f t="array" ref="J16">_xlfn.XLOOKUP($A16&amp;J$3&amp;$I$2&amp;$A$1,dropout_results!$C$2:$C$300&amp;dropout_results!$K$2:$K$300&amp;dropout_results!$J$2:$J$300&amp;dropout_results!$I$2:$I$300,dropout_results!$L$2:$L$300,"",0)</f>
        <v/>
      </c>
    </row>
    <row r="17" spans="1:10" s="8" customFormat="1" x14ac:dyDescent="0.25">
      <c r="A17" s="8" t="s">
        <v>27</v>
      </c>
      <c r="B17" s="8" t="s">
        <v>124</v>
      </c>
      <c r="C17" s="8" t="str" cm="1">
        <f t="array" ref="C17">_xlfn.XLOOKUP($A17&amp;C$3&amp;$C$2&amp;$A$1,dropout_results!$C$2:$C$300&amp;dropout_results!$K$2:$K$300&amp;dropout_results!$J$2:$J$300&amp;dropout_results!$I$2:$I$300,dropout_results!$L$2:$L$300,"",0)</f>
        <v>0.04[0.00,0.09]</v>
      </c>
      <c r="D17" s="8" t="str" cm="1">
        <f t="array" ref="D17">_xlfn.XLOOKUP($A17&amp;D$3&amp;$C$2&amp;$A$1,dropout_results!$C$2:$C$300&amp;dropout_results!$K$2:$K$300&amp;dropout_results!$J$2:$J$300&amp;dropout_results!$I$2:$I$300,dropout_results!$L$2:$L$300,"",0)</f>
        <v>0.04[0.00,0.08]</v>
      </c>
      <c r="F17" s="8" t="str" cm="1">
        <f t="array" ref="F17">_xlfn.XLOOKUP($A17&amp;F$3&amp;$F$2&amp;$A$1,dropout_results!$C$2:$C$300&amp;dropout_results!$K$2:$K$300&amp;dropout_results!$J$2:$J$300&amp;dropout_results!$I$2:$I$300,dropout_results!$L$2:$L$300,"",0)</f>
        <v>0.06[0.02,0.10]</v>
      </c>
      <c r="G17" s="8" t="str" cm="1">
        <f t="array" ref="G17">_xlfn.XLOOKUP($A17&amp;G$3&amp;$F$2&amp;$A$1,dropout_results!$C$2:$C$300&amp;dropout_results!$K$2:$K$300&amp;dropout_results!$J$2:$J$300&amp;dropout_results!$I$2:$I$300,dropout_results!$L$2:$L$300,"",0)</f>
        <v>0.06[0.02,0.09]</v>
      </c>
      <c r="I17" s="8" t="str" cm="1">
        <f t="array" ref="I17">_xlfn.XLOOKUP($A17&amp;I$3&amp;$I$2&amp;$A$1,dropout_results!$C$2:$C$300&amp;dropout_results!$K$2:$K$300&amp;dropout_results!$J$2:$J$300&amp;dropout_results!$I$2:$I$300,dropout_results!$L$2:$L$300,"",0)</f>
        <v>0.13[-0.10,0.36]</v>
      </c>
      <c r="J17" s="8" t="str" cm="1">
        <f t="array" ref="J17">_xlfn.XLOOKUP($A17&amp;J$3&amp;$I$2&amp;$A$1,dropout_results!$C$2:$C$300&amp;dropout_results!$K$2:$K$300&amp;dropout_results!$J$2:$J$300&amp;dropout_results!$I$2:$I$300,dropout_results!$L$2:$L$300,"",0)</f>
        <v>0.13[-0.11,0.37]</v>
      </c>
    </row>
    <row r="18" spans="1:10" x14ac:dyDescent="0.25">
      <c r="A18" t="s">
        <v>28</v>
      </c>
      <c r="B18" t="s">
        <v>125</v>
      </c>
      <c r="C18" s="8" t="str" cm="1">
        <f t="array" ref="C18">_xlfn.XLOOKUP($A18&amp;C$3&amp;$C$2&amp;$A$1,dropout_results!$C$2:$C$300&amp;dropout_results!$K$2:$K$300&amp;dropout_results!$J$2:$J$300&amp;dropout_results!$I$2:$I$300,dropout_results!$L$2:$L$300,"",0)</f>
        <v>0.02[-0.04,0.09]</v>
      </c>
      <c r="D18" s="8" t="str" cm="1">
        <f t="array" ref="D18">_xlfn.XLOOKUP($A18&amp;D$3&amp;$C$2&amp;$A$1,dropout_results!$C$2:$C$300&amp;dropout_results!$K$2:$K$300&amp;dropout_results!$J$2:$J$300&amp;dropout_results!$I$2:$I$300,dropout_results!$L$2:$L$300,"",0)</f>
        <v>0.04[-0.03,0.10]</v>
      </c>
      <c r="E18" s="8"/>
      <c r="F18" s="8" t="str" cm="1">
        <f t="array" ref="F18">_xlfn.XLOOKUP($A18&amp;F$3&amp;$F$2&amp;$A$1,dropout_results!$C$2:$C$300&amp;dropout_results!$K$2:$K$300&amp;dropout_results!$J$2:$J$300&amp;dropout_results!$I$2:$I$300,dropout_results!$L$2:$L$300,"",0)</f>
        <v/>
      </c>
      <c r="G18" s="8" t="str" cm="1">
        <f t="array" ref="G18">_xlfn.XLOOKUP($A18&amp;G$3&amp;$F$2&amp;$A$1,dropout_results!$C$2:$C$300&amp;dropout_results!$K$2:$K$300&amp;dropout_results!$J$2:$J$300&amp;dropout_results!$I$2:$I$300,dropout_results!$L$2:$L$300,"",0)</f>
        <v/>
      </c>
      <c r="H18" s="8"/>
      <c r="I18" s="8" t="str" cm="1">
        <f t="array" ref="I18">_xlfn.XLOOKUP($A18&amp;I$3&amp;$I$2&amp;$A$1,dropout_results!$C$2:$C$300&amp;dropout_results!$K$2:$K$300&amp;dropout_results!$J$2:$J$300&amp;dropout_results!$I$2:$I$300,dropout_results!$L$2:$L$300,"",0)</f>
        <v/>
      </c>
      <c r="J18" s="8" t="str" cm="1">
        <f t="array" ref="J18">_xlfn.XLOOKUP($A18&amp;J$3&amp;$I$2&amp;$A$1,dropout_results!$C$2:$C$300&amp;dropout_results!$K$2:$K$300&amp;dropout_results!$J$2:$J$300&amp;dropout_results!$I$2:$I$300,dropout_results!$L$2:$L$300,"",0)</f>
        <v/>
      </c>
    </row>
    <row r="19" spans="1:10" x14ac:dyDescent="0.25">
      <c r="A19" t="s">
        <v>29</v>
      </c>
      <c r="B19" t="s">
        <v>126</v>
      </c>
      <c r="C19" s="8" t="str" cm="1">
        <f t="array" ref="C19">_xlfn.XLOOKUP($A19&amp;C$3&amp;$C$2&amp;$A$1,dropout_results!$C$2:$C$300&amp;dropout_results!$K$2:$K$300&amp;dropout_results!$J$2:$J$300&amp;dropout_results!$I$2:$I$300,dropout_results!$L$2:$L$300,"",0)</f>
        <v>0.16[0.08,0.24]</v>
      </c>
      <c r="D19" s="8" t="str" cm="1">
        <f t="array" ref="D19">_xlfn.XLOOKUP($A19&amp;D$3&amp;$C$2&amp;$A$1,dropout_results!$C$2:$C$300&amp;dropout_results!$K$2:$K$300&amp;dropout_results!$J$2:$J$300&amp;dropout_results!$I$2:$I$300,dropout_results!$L$2:$L$300,"",0)</f>
        <v>0.10[0.02,0.19]</v>
      </c>
      <c r="E19" s="8"/>
      <c r="F19" s="8" t="str" cm="1">
        <f t="array" ref="F19">_xlfn.XLOOKUP($A19&amp;F$3&amp;$F$2&amp;$A$1,dropout_results!$C$2:$C$300&amp;dropout_results!$K$2:$K$300&amp;dropout_results!$J$2:$J$300&amp;dropout_results!$I$2:$I$300,dropout_results!$L$2:$L$300,"",0)</f>
        <v/>
      </c>
      <c r="G19" s="8" t="str" cm="1">
        <f t="array" ref="G19">_xlfn.XLOOKUP($A19&amp;G$3&amp;$F$2&amp;$A$1,dropout_results!$C$2:$C$300&amp;dropout_results!$K$2:$K$300&amp;dropout_results!$J$2:$J$300&amp;dropout_results!$I$2:$I$300,dropout_results!$L$2:$L$300,"",0)</f>
        <v/>
      </c>
      <c r="H19" s="8"/>
      <c r="I19" s="8" t="str" cm="1">
        <f t="array" ref="I19">_xlfn.XLOOKUP($A19&amp;I$3&amp;$I$2&amp;$A$1,dropout_results!$C$2:$C$300&amp;dropout_results!$K$2:$K$300&amp;dropout_results!$J$2:$J$300&amp;dropout_results!$I$2:$I$300,dropout_results!$L$2:$L$300,"",0)</f>
        <v>0.19[0.09,0.28]</v>
      </c>
      <c r="J19" s="8" t="str" cm="1">
        <f t="array" ref="J19">_xlfn.XLOOKUP($A19&amp;J$3&amp;$I$2&amp;$A$1,dropout_results!$C$2:$C$300&amp;dropout_results!$K$2:$K$300&amp;dropout_results!$J$2:$J$300&amp;dropout_results!$I$2:$I$300,dropout_results!$L$2:$L$300,"",0)</f>
        <v>0.18[0.08,0.28]</v>
      </c>
    </row>
    <row r="20" spans="1:10" x14ac:dyDescent="0.25">
      <c r="A20" t="s">
        <v>30</v>
      </c>
      <c r="B20" t="s">
        <v>127</v>
      </c>
      <c r="C20" s="8" t="str" cm="1">
        <f t="array" ref="C20">_xlfn.XLOOKUP($A20&amp;C$3&amp;$C$2&amp;$A$1,dropout_results!$C$2:$C$300&amp;dropout_results!$K$2:$K$300&amp;dropout_results!$J$2:$J$300&amp;dropout_results!$I$2:$I$300,dropout_results!$L$2:$L$300,"",0)</f>
        <v>12.43[-22.16,47.02]</v>
      </c>
      <c r="D20" s="8" t="str" cm="1">
        <f t="array" ref="D20">_xlfn.XLOOKUP($A20&amp;D$3&amp;$C$2&amp;$A$1,dropout_results!$C$2:$C$300&amp;dropout_results!$K$2:$K$300&amp;dropout_results!$J$2:$J$300&amp;dropout_results!$I$2:$I$300,dropout_results!$L$2:$L$300,"",0)</f>
        <v>22.38[-11.80,56.56]</v>
      </c>
      <c r="E20" s="8"/>
      <c r="F20" s="8" t="str" cm="1">
        <f t="array" ref="F20">_xlfn.XLOOKUP($A20&amp;F$3&amp;$F$2&amp;$A$1,dropout_results!$C$2:$C$300&amp;dropout_results!$K$2:$K$300&amp;dropout_results!$J$2:$J$300&amp;dropout_results!$I$2:$I$300,dropout_results!$L$2:$L$300,"",0)</f>
        <v>8.69[-10.45,27.84]</v>
      </c>
      <c r="G20" s="8" t="str" cm="1">
        <f t="array" ref="G20">_xlfn.XLOOKUP($A20&amp;G$3&amp;$F$2&amp;$A$1,dropout_results!$C$2:$C$300&amp;dropout_results!$K$2:$K$300&amp;dropout_results!$J$2:$J$300&amp;dropout_results!$I$2:$I$300,dropout_results!$L$2:$L$300,"",0)</f>
        <v>13.30[-6.13,32.73]</v>
      </c>
      <c r="H20" s="8"/>
      <c r="I20" s="8" t="str" cm="1">
        <f t="array" ref="I20">_xlfn.XLOOKUP($A20&amp;I$3&amp;$I$2&amp;$A$1,dropout_results!$C$2:$C$300&amp;dropout_results!$K$2:$K$300&amp;dropout_results!$J$2:$J$300&amp;dropout_results!$I$2:$I$300,dropout_results!$L$2:$L$300,"",0)</f>
        <v>20.80[4.28,37.31]</v>
      </c>
      <c r="J20" s="8" t="str" cm="1">
        <f t="array" ref="J20">_xlfn.XLOOKUP($A20&amp;J$3&amp;$I$2&amp;$A$1,dropout_results!$C$2:$C$300&amp;dropout_results!$K$2:$K$300&amp;dropout_results!$J$2:$J$300&amp;dropout_results!$I$2:$I$300,dropout_results!$L$2:$L$300,"",0)</f>
        <v/>
      </c>
    </row>
    <row r="21" spans="1:10" x14ac:dyDescent="0.25">
      <c r="A21" t="s">
        <v>31</v>
      </c>
      <c r="B21" t="s">
        <v>128</v>
      </c>
      <c r="C21" s="8" t="str" cm="1">
        <f t="array" ref="C21">_xlfn.XLOOKUP($A21&amp;C$3&amp;$C$2&amp;$A$1,dropout_results!$C$2:$C$300&amp;dropout_results!$K$2:$K$300&amp;dropout_results!$J$2:$J$300&amp;dropout_results!$I$2:$I$300,dropout_results!$L$2:$L$300,"",0)</f>
        <v>15.31[-29.03,59.66]</v>
      </c>
      <c r="D21" s="8" t="str" cm="1">
        <f t="array" ref="D21">_xlfn.XLOOKUP($A21&amp;D$3&amp;$C$2&amp;$A$1,dropout_results!$C$2:$C$300&amp;dropout_results!$K$2:$K$300&amp;dropout_results!$J$2:$J$300&amp;dropout_results!$I$2:$I$300,dropout_results!$L$2:$L$300,"",0)</f>
        <v>3.98[-39.57,47.54]</v>
      </c>
      <c r="E21" s="8"/>
      <c r="F21" s="8" t="str" cm="1">
        <f t="array" ref="F21">_xlfn.XLOOKUP($A21&amp;F$3&amp;$F$2&amp;$A$1,dropout_results!$C$2:$C$300&amp;dropout_results!$K$2:$K$300&amp;dropout_results!$J$2:$J$300&amp;dropout_results!$I$2:$I$300,dropout_results!$L$2:$L$300,"",0)</f>
        <v/>
      </c>
      <c r="G21" s="8" t="str" cm="1">
        <f t="array" ref="G21">_xlfn.XLOOKUP($A21&amp;G$3&amp;$F$2&amp;$A$1,dropout_results!$C$2:$C$300&amp;dropout_results!$K$2:$K$300&amp;dropout_results!$J$2:$J$300&amp;dropout_results!$I$2:$I$300,dropout_results!$L$2:$L$300,"",0)</f>
        <v/>
      </c>
      <c r="H21" s="8"/>
      <c r="I21" s="8" t="str" cm="1">
        <f t="array" ref="I21">_xlfn.XLOOKUP($A21&amp;I$3&amp;$I$2&amp;$A$1,dropout_results!$C$2:$C$300&amp;dropout_results!$K$2:$K$300&amp;dropout_results!$J$2:$J$300&amp;dropout_results!$I$2:$I$300,dropout_results!$L$2:$L$300,"",0)</f>
        <v/>
      </c>
      <c r="J21" s="8" t="str" cm="1">
        <f t="array" ref="J21">_xlfn.XLOOKUP($A21&amp;J$3&amp;$I$2&amp;$A$1,dropout_results!$C$2:$C$300&amp;dropout_results!$K$2:$K$300&amp;dropout_results!$J$2:$J$300&amp;dropout_results!$I$2:$I$300,dropout_results!$L$2:$L$300,"",0)</f>
        <v/>
      </c>
    </row>
    <row r="22" spans="1:10" x14ac:dyDescent="0.25">
      <c r="A22" t="s">
        <v>32</v>
      </c>
      <c r="B22" t="s">
        <v>129</v>
      </c>
      <c r="C22" s="8" t="str" cm="1">
        <f t="array" ref="C22">_xlfn.XLOOKUP($A22&amp;C$3&amp;$C$2&amp;$A$1,dropout_results!$C$2:$C$300&amp;dropout_results!$K$2:$K$300&amp;dropout_results!$J$2:$J$300&amp;dropout_results!$I$2:$I$300,dropout_results!$L$2:$L$300,"",0)</f>
        <v>0.09[0.03,0.15]</v>
      </c>
      <c r="D22" s="8" t="str" cm="1">
        <f t="array" ref="D22">_xlfn.XLOOKUP($A22&amp;D$3&amp;$C$2&amp;$A$1,dropout_results!$C$2:$C$300&amp;dropout_results!$K$2:$K$300&amp;dropout_results!$J$2:$J$300&amp;dropout_results!$I$2:$I$300,dropout_results!$L$2:$L$300,"",0)</f>
        <v>0.10[0.05,0.16]</v>
      </c>
      <c r="E22" s="8"/>
      <c r="F22" s="8" t="str" cm="1">
        <f t="array" ref="F22">_xlfn.XLOOKUP($A22&amp;F$3&amp;$F$2&amp;$A$1,dropout_results!$C$2:$C$300&amp;dropout_results!$K$2:$K$300&amp;dropout_results!$J$2:$J$300&amp;dropout_results!$I$2:$I$300,dropout_results!$L$2:$L$300,"",0)</f>
        <v/>
      </c>
      <c r="G22" s="8" t="str" cm="1">
        <f t="array" ref="G22">_xlfn.XLOOKUP($A22&amp;G$3&amp;$F$2&amp;$A$1,dropout_results!$C$2:$C$300&amp;dropout_results!$K$2:$K$300&amp;dropout_results!$J$2:$J$300&amp;dropout_results!$I$2:$I$300,dropout_results!$L$2:$L$300,"",0)</f>
        <v/>
      </c>
      <c r="H22" s="8"/>
      <c r="I22" s="8" t="str" cm="1">
        <f t="array" ref="I22">_xlfn.XLOOKUP($A22&amp;I$3&amp;$I$2&amp;$A$1,dropout_results!$C$2:$C$300&amp;dropout_results!$K$2:$K$300&amp;dropout_results!$J$2:$J$300&amp;dropout_results!$I$2:$I$300,dropout_results!$L$2:$L$300,"",0)</f>
        <v>0.05[0.00,0.10]</v>
      </c>
      <c r="J22" s="8" t="str" cm="1">
        <f t="array" ref="J22">_xlfn.XLOOKUP($A22&amp;J$3&amp;$I$2&amp;$A$1,dropout_results!$C$2:$C$300&amp;dropout_results!$K$2:$K$300&amp;dropout_results!$J$2:$J$300&amp;dropout_results!$I$2:$I$300,dropout_results!$L$2:$L$300,"",0)</f>
        <v>0.10[0.05,0.15]</v>
      </c>
    </row>
    <row r="23" spans="1:10" x14ac:dyDescent="0.25">
      <c r="A23" t="s">
        <v>33</v>
      </c>
      <c r="B23" t="s">
        <v>130</v>
      </c>
      <c r="C23" s="8" t="str" cm="1">
        <f t="array" ref="C23">_xlfn.XLOOKUP($A23&amp;C$3&amp;$C$2&amp;$A$1,dropout_results!$C$2:$C$300&amp;dropout_results!$K$2:$K$300&amp;dropout_results!$J$2:$J$300&amp;dropout_results!$I$2:$I$300,dropout_results!$L$2:$L$300,"",0)</f>
        <v>-1.51[-2.40,-0.62]</v>
      </c>
      <c r="D23" s="8" t="str" cm="1">
        <f t="array" ref="D23">_xlfn.XLOOKUP($A23&amp;D$3&amp;$C$2&amp;$A$1,dropout_results!$C$2:$C$300&amp;dropout_results!$K$2:$K$300&amp;dropout_results!$J$2:$J$300&amp;dropout_results!$I$2:$I$300,dropout_results!$L$2:$L$300,"",0)</f>
        <v>-1.81[-2.71,-0.91]</v>
      </c>
      <c r="E23" s="8"/>
      <c r="F23" s="8" t="str" cm="1">
        <f t="array" ref="F23">_xlfn.XLOOKUP($A23&amp;F$3&amp;$F$2&amp;$A$1,dropout_results!$C$2:$C$300&amp;dropout_results!$K$2:$K$300&amp;dropout_results!$J$2:$J$300&amp;dropout_results!$I$2:$I$300,dropout_results!$L$2:$L$300,"",0)</f>
        <v/>
      </c>
      <c r="G23" s="8" t="str" cm="1">
        <f t="array" ref="G23">_xlfn.XLOOKUP($A23&amp;G$3&amp;$F$2&amp;$A$1,dropout_results!$C$2:$C$300&amp;dropout_results!$K$2:$K$300&amp;dropout_results!$J$2:$J$300&amp;dropout_results!$I$2:$I$300,dropout_results!$L$2:$L$300,"",0)</f>
        <v/>
      </c>
      <c r="H23" s="8"/>
      <c r="I23" s="8" t="str" cm="1">
        <f t="array" ref="I23">_xlfn.XLOOKUP($A23&amp;I$3&amp;$I$2&amp;$A$1,dropout_results!$C$2:$C$300&amp;dropout_results!$K$2:$K$300&amp;dropout_results!$J$2:$J$300&amp;dropout_results!$I$2:$I$300,dropout_results!$L$2:$L$300,"",0)</f>
        <v>-0.93[-1.66,-0.20]</v>
      </c>
      <c r="J23" s="8" t="str" cm="1">
        <f t="array" ref="J23">_xlfn.XLOOKUP($A23&amp;J$3&amp;$I$2&amp;$A$1,dropout_results!$C$2:$C$300&amp;dropout_results!$K$2:$K$300&amp;dropout_results!$J$2:$J$300&amp;dropout_results!$I$2:$I$300,dropout_results!$L$2:$L$300,"",0)</f>
        <v>-1.23[-1.93,-0.54]</v>
      </c>
    </row>
    <row r="24" spans="1:10" x14ac:dyDescent="0.25">
      <c r="A24" t="s">
        <v>34</v>
      </c>
      <c r="B24" t="s">
        <v>131</v>
      </c>
      <c r="C24" s="8" t="str" cm="1">
        <f t="array" ref="C24">_xlfn.XLOOKUP($A24&amp;C$3&amp;$C$2&amp;$A$1,dropout_results!$C$2:$C$300&amp;dropout_results!$K$2:$K$300&amp;dropout_results!$J$2:$J$300&amp;dropout_results!$I$2:$I$300,dropout_results!$L$2:$L$300,"",0)</f>
        <v>0.55[-0.11,1.21]</v>
      </c>
      <c r="D24" s="8" t="str" cm="1">
        <f t="array" ref="D24">_xlfn.XLOOKUP($A24&amp;D$3&amp;$C$2&amp;$A$1,dropout_results!$C$2:$C$300&amp;dropout_results!$K$2:$K$300&amp;dropout_results!$J$2:$J$300&amp;dropout_results!$I$2:$I$300,dropout_results!$L$2:$L$300,"",0)</f>
        <v>0.66[-0.01,1.32]</v>
      </c>
      <c r="E24" s="8"/>
      <c r="F24" s="8" t="str" cm="1">
        <f t="array" ref="F24">_xlfn.XLOOKUP($A24&amp;F$3&amp;$F$2&amp;$A$1,dropout_results!$C$2:$C$300&amp;dropout_results!$K$2:$K$300&amp;dropout_results!$J$2:$J$300&amp;dropout_results!$I$2:$I$300,dropout_results!$L$2:$L$300,"",0)</f>
        <v>0.67[0.05,1.29]</v>
      </c>
      <c r="G24" s="8" t="str" cm="1">
        <f t="array" ref="G24">_xlfn.XLOOKUP($A24&amp;G$3&amp;$F$2&amp;$A$1,dropout_results!$C$2:$C$300&amp;dropout_results!$K$2:$K$300&amp;dropout_results!$J$2:$J$300&amp;dropout_results!$I$2:$I$300,dropout_results!$L$2:$L$300,"",0)</f>
        <v>0.71[0.08,1.35]</v>
      </c>
      <c r="H24" s="8"/>
      <c r="I24" s="8" t="str" cm="1">
        <f t="array" ref="I24">_xlfn.XLOOKUP($A24&amp;I$3&amp;$I$2&amp;$A$1,dropout_results!$C$2:$C$300&amp;dropout_results!$K$2:$K$300&amp;dropout_results!$J$2:$J$300&amp;dropout_results!$I$2:$I$300,dropout_results!$L$2:$L$300,"",0)</f>
        <v>0.89[0.27,1.51]</v>
      </c>
      <c r="J24" s="8" t="str" cm="1">
        <f t="array" ref="J24">_xlfn.XLOOKUP($A24&amp;J$3&amp;$I$2&amp;$A$1,dropout_results!$C$2:$C$300&amp;dropout_results!$K$2:$K$300&amp;dropout_results!$J$2:$J$300&amp;dropout_results!$I$2:$I$300,dropout_results!$L$2:$L$300,"",0)</f>
        <v>1.18[0.59,1.77]</v>
      </c>
    </row>
    <row r="25" spans="1:10" x14ac:dyDescent="0.25">
      <c r="A25" t="s">
        <v>35</v>
      </c>
      <c r="B25" t="s">
        <v>132</v>
      </c>
      <c r="C25" s="8" t="str" cm="1">
        <f t="array" ref="C25">_xlfn.XLOOKUP($A25&amp;C$3&amp;$C$2&amp;$A$1,dropout_results!$C$2:$C$300&amp;dropout_results!$K$2:$K$300&amp;dropout_results!$J$2:$J$300&amp;dropout_results!$I$2:$I$300,dropout_results!$L$2:$L$300,"",0)</f>
        <v>0.03[-0.02,0.09]</v>
      </c>
      <c r="D25" s="8" t="str" cm="1">
        <f t="array" ref="D25">_xlfn.XLOOKUP($A25&amp;D$3&amp;$C$2&amp;$A$1,dropout_results!$C$2:$C$300&amp;dropout_results!$K$2:$K$300&amp;dropout_results!$J$2:$J$300&amp;dropout_results!$I$2:$I$300,dropout_results!$L$2:$L$300,"",0)</f>
        <v>0.04[-0.02,0.09]</v>
      </c>
      <c r="E25" s="8"/>
      <c r="F25" s="8" t="str" cm="1">
        <f t="array" ref="F25">_xlfn.XLOOKUP($A25&amp;F$3&amp;$F$2&amp;$A$1,dropout_results!$C$2:$C$300&amp;dropout_results!$K$2:$K$300&amp;dropout_results!$J$2:$J$300&amp;dropout_results!$I$2:$I$300,dropout_results!$L$2:$L$300,"",0)</f>
        <v/>
      </c>
      <c r="G25" s="8" t="str" cm="1">
        <f t="array" ref="G25">_xlfn.XLOOKUP($A25&amp;G$3&amp;$F$2&amp;$A$1,dropout_results!$C$2:$C$300&amp;dropout_results!$K$2:$K$300&amp;dropout_results!$J$2:$J$300&amp;dropout_results!$I$2:$I$300,dropout_results!$L$2:$L$300,"",0)</f>
        <v/>
      </c>
      <c r="H25" s="8"/>
      <c r="I25" s="8" t="str" cm="1">
        <f t="array" ref="I25">_xlfn.XLOOKUP($A25&amp;I$3&amp;$I$2&amp;$A$1,dropout_results!$C$2:$C$300&amp;dropout_results!$K$2:$K$300&amp;dropout_results!$J$2:$J$300&amp;dropout_results!$I$2:$I$300,dropout_results!$L$2:$L$300,"",0)</f>
        <v/>
      </c>
      <c r="J25" s="8" t="str" cm="1">
        <f t="array" ref="J25">_xlfn.XLOOKUP($A25&amp;J$3&amp;$I$2&amp;$A$1,dropout_results!$C$2:$C$300&amp;dropout_results!$K$2:$K$300&amp;dropout_results!$J$2:$J$300&amp;dropout_results!$I$2:$I$300,dropout_results!$L$2:$L$300,"",0)</f>
        <v/>
      </c>
    </row>
    <row r="26" spans="1:10" x14ac:dyDescent="0.25">
      <c r="A26" s="8" t="s">
        <v>36</v>
      </c>
      <c r="B26" s="8" t="s">
        <v>133</v>
      </c>
      <c r="C26" s="8" t="str" cm="1">
        <f t="array" ref="C26">_xlfn.XLOOKUP($A26&amp;C$3&amp;$C$2&amp;$A$1,dropout_results!$C$2:$C$300&amp;dropout_results!$K$2:$K$300&amp;dropout_results!$J$2:$J$300&amp;dropout_results!$I$2:$I$300,dropout_results!$L$2:$L$300,"",0)</f>
        <v>0.06[0.02,0.09]</v>
      </c>
      <c r="D26" s="8" t="str" cm="1">
        <f t="array" ref="D26">_xlfn.XLOOKUP($A26&amp;D$3&amp;$C$2&amp;$A$1,dropout_results!$C$2:$C$300&amp;dropout_results!$K$2:$K$300&amp;dropout_results!$J$2:$J$300&amp;dropout_results!$I$2:$I$300,dropout_results!$L$2:$L$300,"",0)</f>
        <v>0.04[0.00,0.08]</v>
      </c>
      <c r="E26" s="8"/>
      <c r="F26" s="8" t="str" cm="1">
        <f t="array" ref="F26">_xlfn.XLOOKUP($A26&amp;F$3&amp;$F$2&amp;$A$1,dropout_results!$C$2:$C$300&amp;dropout_results!$K$2:$K$300&amp;dropout_results!$J$2:$J$300&amp;dropout_results!$I$2:$I$300,dropout_results!$L$2:$L$300,"",0)</f>
        <v/>
      </c>
      <c r="G26" s="8" t="str" cm="1">
        <f t="array" ref="G26">_xlfn.XLOOKUP($A26&amp;G$3&amp;$F$2&amp;$A$1,dropout_results!$C$2:$C$300&amp;dropout_results!$K$2:$K$300&amp;dropout_results!$J$2:$J$300&amp;dropout_results!$I$2:$I$300,dropout_results!$L$2:$L$300,"",0)</f>
        <v/>
      </c>
      <c r="H26" s="8"/>
      <c r="I26" s="8" t="str" cm="1">
        <f t="array" ref="I26">_xlfn.XLOOKUP($A26&amp;I$3&amp;$I$2&amp;$A$1,dropout_results!$C$2:$C$300&amp;dropout_results!$K$2:$K$300&amp;dropout_results!$J$2:$J$300&amp;dropout_results!$I$2:$I$300,dropout_results!$L$2:$L$300,"",0)</f>
        <v>0.03[0.01,0.06]</v>
      </c>
      <c r="J26" s="8" t="str" cm="1">
        <f t="array" ref="J26">_xlfn.XLOOKUP($A26&amp;J$3&amp;$I$2&amp;$A$1,dropout_results!$C$2:$C$300&amp;dropout_results!$K$2:$K$300&amp;dropout_results!$J$2:$J$300&amp;dropout_results!$I$2:$I$300,dropout_results!$L$2:$L$300,"",0)</f>
        <v/>
      </c>
    </row>
    <row r="27" spans="1:10" x14ac:dyDescent="0.25">
      <c r="A27" t="s">
        <v>89</v>
      </c>
      <c r="B27" t="s">
        <v>134</v>
      </c>
      <c r="C27" s="8" t="str" cm="1">
        <f t="array" ref="C27">_xlfn.XLOOKUP($A27&amp;C$3&amp;$C$2&amp;$A$1,dropout_results!$C$2:$C$300&amp;dropout_results!$K$2:$K$300&amp;dropout_results!$J$2:$J$300&amp;dropout_results!$I$2:$I$300,dropout_results!$L$2:$L$300,"",0)</f>
        <v/>
      </c>
      <c r="D27" s="8" t="str" cm="1">
        <f t="array" ref="D27">_xlfn.XLOOKUP($A27&amp;D$3&amp;$C$2&amp;$A$1,dropout_results!$C$2:$C$300&amp;dropout_results!$K$2:$K$300&amp;dropout_results!$J$2:$J$300&amp;dropout_results!$I$2:$I$300,dropout_results!$L$2:$L$300,"",0)</f>
        <v/>
      </c>
      <c r="E27" s="8"/>
      <c r="F27" s="8" t="str" cm="1">
        <f t="array" ref="F27">_xlfn.XLOOKUP($A27&amp;F$3&amp;$F$2&amp;$A$1,dropout_results!$C$2:$C$300&amp;dropout_results!$K$2:$K$300&amp;dropout_results!$J$2:$J$300&amp;dropout_results!$I$2:$I$300,dropout_results!$L$2:$L$300,"",0)</f>
        <v>0.04[-0.08,0.17]</v>
      </c>
      <c r="G27" s="8" t="str" cm="1">
        <f t="array" ref="G27">_xlfn.XLOOKUP($A27&amp;G$3&amp;$F$2&amp;$A$1,dropout_results!$C$2:$C$300&amp;dropout_results!$K$2:$K$300&amp;dropout_results!$J$2:$J$300&amp;dropout_results!$I$2:$I$300,dropout_results!$L$2:$L$300,"",0)</f>
        <v>0.03[-0.10,0.16]</v>
      </c>
      <c r="H27" s="8"/>
      <c r="I27" s="8" t="str" cm="1">
        <f t="array" ref="I27">_xlfn.XLOOKUP($A27&amp;I$3&amp;$I$2&amp;$A$1,dropout_results!$C$2:$C$300&amp;dropout_results!$K$2:$K$300&amp;dropout_results!$J$2:$J$300&amp;dropout_results!$I$2:$I$300,dropout_results!$L$2:$L$300,"",0)</f>
        <v>0.21[-0.03,0.45]</v>
      </c>
      <c r="J27" s="8" t="str" cm="1">
        <f t="array" ref="J27">_xlfn.XLOOKUP($A27&amp;J$3&amp;$I$2&amp;$A$1,dropout_results!$C$2:$C$300&amp;dropout_results!$K$2:$K$300&amp;dropout_results!$J$2:$J$300&amp;dropout_results!$I$2:$I$300,dropout_results!$L$2:$L$300,"",0)</f>
        <v>0.11[-0.05,0.26]</v>
      </c>
    </row>
    <row r="28" spans="1:10" x14ac:dyDescent="0.25">
      <c r="A28" t="s">
        <v>97</v>
      </c>
      <c r="B28" t="s">
        <v>168</v>
      </c>
      <c r="C28" s="8" t="str" cm="1">
        <f t="array" ref="C28">_xlfn.XLOOKUP($A28&amp;C$3&amp;$C$2&amp;$A$1,dropout_results!$C$2:$C$300&amp;dropout_results!$K$2:$K$300&amp;dropout_results!$J$2:$J$300&amp;dropout_results!$I$2:$I$300,dropout_results!$L$2:$L$300,"",0)</f>
        <v/>
      </c>
      <c r="D28" s="8" t="str" cm="1">
        <f t="array" ref="D28">_xlfn.XLOOKUP($A28&amp;D$3&amp;$C$2&amp;$A$1,dropout_results!$C$2:$C$300&amp;dropout_results!$K$2:$K$300&amp;dropout_results!$J$2:$J$300&amp;dropout_results!$I$2:$I$300,dropout_results!$L$2:$L$300,"",0)</f>
        <v/>
      </c>
      <c r="E28" s="8"/>
      <c r="F28" s="8" t="str" cm="1">
        <f t="array" ref="F28">_xlfn.XLOOKUP($A28&amp;F$3&amp;$F$2&amp;$A$1,dropout_results!$C$2:$C$300&amp;dropout_results!$K$2:$K$300&amp;dropout_results!$J$2:$J$300&amp;dropout_results!$I$2:$I$300,dropout_results!$L$2:$L$300,"",0)</f>
        <v/>
      </c>
      <c r="G28" s="8" t="str" cm="1">
        <f t="array" ref="G28">_xlfn.XLOOKUP($A28&amp;G$3&amp;$F$2&amp;$A$1,dropout_results!$C$2:$C$300&amp;dropout_results!$K$2:$K$300&amp;dropout_results!$J$2:$J$300&amp;dropout_results!$I$2:$I$300,dropout_results!$L$2:$L$300,"",0)</f>
        <v/>
      </c>
      <c r="H28" s="8"/>
      <c r="I28" s="8" t="str" cm="1">
        <f t="array" ref="I28">_xlfn.XLOOKUP($A28&amp;I$3&amp;$I$2&amp;$A$1,dropout_results!$C$2:$C$300&amp;dropout_results!$K$2:$K$300&amp;dropout_results!$J$2:$J$300&amp;dropout_results!$I$2:$I$300,dropout_results!$L$2:$L$300,"",0)</f>
        <v>-0.04[-0.06,-0.02]</v>
      </c>
      <c r="J28" s="8" t="str" cm="1">
        <f t="array" ref="J28">_xlfn.XLOOKUP($A28&amp;J$3&amp;$I$2&amp;$A$1,dropout_results!$C$2:$C$300&amp;dropout_results!$K$2:$K$300&amp;dropout_results!$J$2:$J$300&amp;dropout_results!$I$2:$I$300,dropout_results!$L$2:$L$300,"",0)</f>
        <v>-0.01[-0.01,0.00]</v>
      </c>
    </row>
    <row r="29" spans="1:10" x14ac:dyDescent="0.25">
      <c r="A29" t="s">
        <v>105</v>
      </c>
      <c r="B29" t="s">
        <v>139</v>
      </c>
      <c r="C29" s="8" t="str" cm="1">
        <f t="array" ref="C29">_xlfn.XLOOKUP($A29&amp;C$3&amp;$C$2&amp;$A$1,dropout_results!$C$2:$C$300&amp;dropout_results!$K$2:$K$300&amp;dropout_results!$J$2:$J$300&amp;dropout_results!$I$2:$I$300,dropout_results!$L$2:$L$300,"",0)</f>
        <v/>
      </c>
      <c r="D29" s="8" t="str" cm="1">
        <f t="array" ref="D29">_xlfn.XLOOKUP($A29&amp;D$3&amp;$C$2&amp;$A$1,dropout_results!$C$2:$C$300&amp;dropout_results!$K$2:$K$300&amp;dropout_results!$J$2:$J$300&amp;dropout_results!$I$2:$I$300,dropout_results!$L$2:$L$300,"",0)</f>
        <v/>
      </c>
      <c r="E29" s="8"/>
      <c r="F29" s="8" t="str" cm="1">
        <f t="array" ref="F29">_xlfn.XLOOKUP($A29&amp;F$3&amp;$F$2&amp;$A$1,dropout_results!$C$2:$C$300&amp;dropout_results!$K$2:$K$300&amp;dropout_results!$J$2:$J$300&amp;dropout_results!$I$2:$I$300,dropout_results!$L$2:$L$300,"",0)</f>
        <v/>
      </c>
      <c r="G29" s="8" t="str" cm="1">
        <f t="array" ref="G29">_xlfn.XLOOKUP($A29&amp;G$3&amp;$F$2&amp;$A$1,dropout_results!$C$2:$C$300&amp;dropout_results!$K$2:$K$300&amp;dropout_results!$J$2:$J$300&amp;dropout_results!$I$2:$I$300,dropout_results!$L$2:$L$300,"",0)</f>
        <v/>
      </c>
      <c r="H29" s="8"/>
      <c r="I29" s="8" t="str" cm="1">
        <f t="array" ref="I29">_xlfn.XLOOKUP($A29&amp;I$3&amp;$I$2&amp;$A$1,dropout_results!$C$2:$C$300&amp;dropout_results!$K$2:$K$300&amp;dropout_results!$J$2:$J$300&amp;dropout_results!$I$2:$I$300,dropout_results!$L$2:$L$300,"",0)</f>
        <v>-0.51[-0.74,-0.28]</v>
      </c>
      <c r="J29" s="8" t="str" cm="1">
        <f t="array" ref="J29">_xlfn.XLOOKUP($A29&amp;J$3&amp;$I$2&amp;$A$1,dropout_results!$C$2:$C$300&amp;dropout_results!$K$2:$K$300&amp;dropout_results!$J$2:$J$300&amp;dropout_results!$I$2:$I$300,dropout_results!$L$2:$L$300,"",0)</f>
        <v>-0.56[-0.79,-0.33]</v>
      </c>
    </row>
    <row r="30" spans="1:10" x14ac:dyDescent="0.25">
      <c r="A30" t="s">
        <v>106</v>
      </c>
      <c r="B30" t="s">
        <v>143</v>
      </c>
      <c r="C30" s="8" t="str" cm="1">
        <f t="array" ref="C30">_xlfn.XLOOKUP($A30&amp;C$3&amp;$C$2&amp;$A$1,dropout_results!$C$2:$C$300&amp;dropout_results!$K$2:$K$300&amp;dropout_results!$J$2:$J$300&amp;dropout_results!$I$2:$I$300,dropout_results!$L$2:$L$300,"",0)</f>
        <v/>
      </c>
      <c r="D30" s="8" t="str" cm="1">
        <f t="array" ref="D30">_xlfn.XLOOKUP($A30&amp;D$3&amp;$C$2&amp;$A$1,dropout_results!$C$2:$C$300&amp;dropout_results!$K$2:$K$300&amp;dropout_results!$J$2:$J$300&amp;dropout_results!$I$2:$I$300,dropout_results!$L$2:$L$300,"",0)</f>
        <v/>
      </c>
      <c r="E30" s="8"/>
      <c r="F30" s="8" t="str" cm="1">
        <f t="array" ref="F30">_xlfn.XLOOKUP($A30&amp;F$3&amp;$F$2&amp;$A$1,dropout_results!$C$2:$C$300&amp;dropout_results!$K$2:$K$300&amp;dropout_results!$J$2:$J$300&amp;dropout_results!$I$2:$I$300,dropout_results!$L$2:$L$300,"",0)</f>
        <v/>
      </c>
      <c r="G30" s="8" t="str" cm="1">
        <f t="array" ref="G30">_xlfn.XLOOKUP($A30&amp;G$3&amp;$F$2&amp;$A$1,dropout_results!$C$2:$C$300&amp;dropout_results!$K$2:$K$300&amp;dropout_results!$J$2:$J$300&amp;dropout_results!$I$2:$I$300,dropout_results!$L$2:$L$300,"",0)</f>
        <v/>
      </c>
      <c r="H30" s="8"/>
      <c r="I30" s="8" t="str" cm="1">
        <f t="array" ref="I30">_xlfn.XLOOKUP($A30&amp;I$3&amp;$I$2&amp;$A$1,dropout_results!$C$2:$C$300&amp;dropout_results!$K$2:$K$300&amp;dropout_results!$J$2:$J$300&amp;dropout_results!$I$2:$I$300,dropout_results!$L$2:$L$300,"",0)</f>
        <v>0.00[0.00,0.00]</v>
      </c>
      <c r="J30" s="8" t="str" cm="1">
        <f t="array" ref="J30">_xlfn.XLOOKUP($A30&amp;J$3&amp;$I$2&amp;$A$1,dropout_results!$C$2:$C$300&amp;dropout_results!$K$2:$K$300&amp;dropout_results!$J$2:$J$300&amp;dropout_results!$I$2:$I$300,dropout_results!$L$2:$L$300,"",0)</f>
        <v/>
      </c>
    </row>
    <row r="31" spans="1:10" x14ac:dyDescent="0.25">
      <c r="A31" t="s">
        <v>156</v>
      </c>
      <c r="B31" t="s">
        <v>163</v>
      </c>
      <c r="C31" s="8" t="str" cm="1">
        <f t="array" ref="C31">_xlfn.XLOOKUP($A31&amp;C$3&amp;$C$2&amp;$A$1,dropout_results!$C$2:$C$300&amp;dropout_results!$K$2:$K$300&amp;dropout_results!$J$2:$J$300&amp;dropout_results!$I$2:$I$300,dropout_results!$L$2:$L$300,"",0)</f>
        <v/>
      </c>
      <c r="D31" s="8" t="str" cm="1">
        <f t="array" ref="D31">_xlfn.XLOOKUP($A31&amp;D$3&amp;$C$2&amp;$A$1,dropout_results!$C$2:$C$300&amp;dropout_results!$K$2:$K$300&amp;dropout_results!$J$2:$J$300&amp;dropout_results!$I$2:$I$300,dropout_results!$L$2:$L$300,"",0)</f>
        <v/>
      </c>
      <c r="E31" s="8"/>
      <c r="F31" s="8" t="str" cm="1">
        <f t="array" ref="F31">_xlfn.XLOOKUP($A31&amp;F$3&amp;$F$2&amp;$A$1,dropout_results!$C$2:$C$300&amp;dropout_results!$K$2:$K$300&amp;dropout_results!$J$2:$J$300&amp;dropout_results!$I$2:$I$300,dropout_results!$L$2:$L$300,"",0)</f>
        <v/>
      </c>
      <c r="G31" s="8" t="str" cm="1">
        <f t="array" ref="G31">_xlfn.XLOOKUP($A31&amp;G$3&amp;$F$2&amp;$A$1,dropout_results!$C$2:$C$300&amp;dropout_results!$K$2:$K$300&amp;dropout_results!$J$2:$J$300&amp;dropout_results!$I$2:$I$300,dropout_results!$L$2:$L$300,"",0)</f>
        <v/>
      </c>
      <c r="H31" s="8"/>
      <c r="I31" s="8" t="str" cm="1">
        <f t="array" ref="I31">_xlfn.XLOOKUP($A31&amp;I$3&amp;$I$2&amp;$A$1,dropout_results!$C$2:$C$300&amp;dropout_results!$K$2:$K$300&amp;dropout_results!$J$2:$J$300&amp;dropout_results!$I$2:$I$300,dropout_results!$L$2:$L$300,"",0)</f>
        <v>-0.76[-1.65,0.13]</v>
      </c>
      <c r="J31" s="8" t="str" cm="1">
        <f t="array" ref="J31">_xlfn.XLOOKUP($A31&amp;J$3&amp;$I$2&amp;$A$1,dropout_results!$C$2:$C$300&amp;dropout_results!$K$2:$K$300&amp;dropout_results!$J$2:$J$300&amp;dropout_results!$I$2:$I$300,dropout_results!$L$2:$L$300,"",0)</f>
        <v/>
      </c>
    </row>
    <row r="32" spans="1:10" x14ac:dyDescent="0.25">
      <c r="A32" t="s">
        <v>107</v>
      </c>
      <c r="B32" t="s">
        <v>164</v>
      </c>
      <c r="C32" s="8" t="str" cm="1">
        <f t="array" ref="C32">_xlfn.XLOOKUP($A32&amp;C$3&amp;$C$2&amp;$A$1,dropout_results!$C$2:$C$300&amp;dropout_results!$K$2:$K$300&amp;dropout_results!$J$2:$J$300&amp;dropout_results!$I$2:$I$300,dropout_results!$L$2:$L$300,"",0)</f>
        <v/>
      </c>
      <c r="D32" s="8" t="str" cm="1">
        <f t="array" ref="D32">_xlfn.XLOOKUP($A32&amp;D$3&amp;$C$2&amp;$A$1,dropout_results!$C$2:$C$300&amp;dropout_results!$K$2:$K$300&amp;dropout_results!$J$2:$J$300&amp;dropout_results!$I$2:$I$300,dropout_results!$L$2:$L$300,"",0)</f>
        <v/>
      </c>
      <c r="E32" s="8"/>
      <c r="F32" s="8" t="str" cm="1">
        <f t="array" ref="F32">_xlfn.XLOOKUP($A32&amp;F$3&amp;$F$2&amp;$A$1,dropout_results!$C$2:$C$300&amp;dropout_results!$K$2:$K$300&amp;dropout_results!$J$2:$J$300&amp;dropout_results!$I$2:$I$300,dropout_results!$L$2:$L$300,"",0)</f>
        <v/>
      </c>
      <c r="G32" s="8" t="str" cm="1">
        <f t="array" ref="G32">_xlfn.XLOOKUP($A32&amp;G$3&amp;$F$2&amp;$A$1,dropout_results!$C$2:$C$300&amp;dropout_results!$K$2:$K$300&amp;dropout_results!$J$2:$J$300&amp;dropout_results!$I$2:$I$300,dropout_results!$L$2:$L$300,"",0)</f>
        <v/>
      </c>
      <c r="H32" s="8"/>
      <c r="I32" s="8" t="str" cm="1">
        <f t="array" ref="I32">_xlfn.XLOOKUP($A32&amp;I$3&amp;$I$2&amp;$A$1,dropout_results!$C$2:$C$300&amp;dropout_results!$K$2:$K$300&amp;dropout_results!$J$2:$J$300&amp;dropout_results!$I$2:$I$300,dropout_results!$L$2:$L$300,"",0)</f>
        <v>-26.33[-140.38,87.73]</v>
      </c>
      <c r="J32" s="8" t="str" cm="1">
        <f t="array" ref="J32">_xlfn.XLOOKUP($A32&amp;J$3&amp;$I$2&amp;$A$1,dropout_results!$C$2:$C$300&amp;dropout_results!$K$2:$K$300&amp;dropout_results!$J$2:$J$300&amp;dropout_results!$I$2:$I$300,dropout_results!$L$2:$L$300,"",0)</f>
        <v>-40.53[-154.09,73.02]</v>
      </c>
    </row>
    <row r="33" spans="1:10" x14ac:dyDescent="0.25">
      <c r="A33" t="s">
        <v>98</v>
      </c>
      <c r="B33" t="s">
        <v>165</v>
      </c>
      <c r="C33" s="8" t="str" cm="1">
        <f t="array" ref="C33">_xlfn.XLOOKUP($A33&amp;C$3&amp;$C$2&amp;$A$1,dropout_results!$C$2:$C$300&amp;dropout_results!$K$2:$K$300&amp;dropout_results!$J$2:$J$300&amp;dropout_results!$I$2:$I$300,dropout_results!$L$2:$L$300,"",0)</f>
        <v/>
      </c>
      <c r="D33" s="8" t="str" cm="1">
        <f t="array" ref="D33">_xlfn.XLOOKUP($A33&amp;D$3&amp;$C$2&amp;$A$1,dropout_results!$C$2:$C$300&amp;dropout_results!$K$2:$K$300&amp;dropout_results!$J$2:$J$300&amp;dropout_results!$I$2:$I$300,dropout_results!$L$2:$L$300,"",0)</f>
        <v/>
      </c>
      <c r="E33" s="8"/>
      <c r="F33" s="8" t="str" cm="1">
        <f t="array" ref="F33">_xlfn.XLOOKUP($A33&amp;F$3&amp;$F$2&amp;$A$1,dropout_results!$C$2:$C$300&amp;dropout_results!$K$2:$K$300&amp;dropout_results!$J$2:$J$300&amp;dropout_results!$I$2:$I$300,dropout_results!$L$2:$L$300,"",0)</f>
        <v/>
      </c>
      <c r="G33" s="8" t="str" cm="1">
        <f t="array" ref="G33">_xlfn.XLOOKUP($A33&amp;G$3&amp;$F$2&amp;$A$1,dropout_results!$C$2:$C$300&amp;dropout_results!$K$2:$K$300&amp;dropout_results!$J$2:$J$300&amp;dropout_results!$I$2:$I$300,dropout_results!$L$2:$L$300,"",0)</f>
        <v/>
      </c>
      <c r="H33" s="8"/>
      <c r="I33" s="8" t="str" cm="1">
        <f t="array" ref="I33">_xlfn.XLOOKUP($A33&amp;I$3&amp;$I$2&amp;$A$1,dropout_results!$C$2:$C$300&amp;dropout_results!$K$2:$K$300&amp;dropout_results!$J$2:$J$300&amp;dropout_results!$I$2:$I$300,dropout_results!$L$2:$L$300,"",0)</f>
        <v>-0.39[-1.18,0.40]</v>
      </c>
      <c r="J33" s="8" t="str" cm="1">
        <f t="array" ref="J33">_xlfn.XLOOKUP($A33&amp;J$3&amp;$I$2&amp;$A$1,dropout_results!$C$2:$C$300&amp;dropout_results!$K$2:$K$300&amp;dropout_results!$J$2:$J$300&amp;dropout_results!$I$2:$I$300,dropout_results!$L$2:$L$300,"",0)</f>
        <v>-0.38[-1.19,0.42]</v>
      </c>
    </row>
    <row r="34" spans="1:10" x14ac:dyDescent="0.25">
      <c r="A34" t="s">
        <v>108</v>
      </c>
      <c r="B34" t="s">
        <v>144</v>
      </c>
      <c r="C34" s="8" t="str" cm="1">
        <f t="array" ref="C34">_xlfn.XLOOKUP($A34&amp;C$3&amp;$C$2&amp;$A$1,dropout_results!$C$2:$C$300&amp;dropout_results!$K$2:$K$300&amp;dropout_results!$J$2:$J$300&amp;dropout_results!$I$2:$I$300,dropout_results!$L$2:$L$300,"",0)</f>
        <v/>
      </c>
      <c r="D34" s="8" t="str" cm="1">
        <f t="array" ref="D34">_xlfn.XLOOKUP($A34&amp;D$3&amp;$C$2&amp;$A$1,dropout_results!$C$2:$C$300&amp;dropout_results!$K$2:$K$300&amp;dropout_results!$J$2:$J$300&amp;dropout_results!$I$2:$I$300,dropout_results!$L$2:$L$300,"",0)</f>
        <v/>
      </c>
      <c r="E34" s="8"/>
      <c r="F34" s="8" t="str" cm="1">
        <f t="array" ref="F34">_xlfn.XLOOKUP($A34&amp;F$3&amp;$F$2&amp;$A$1,dropout_results!$C$2:$C$300&amp;dropout_results!$K$2:$K$300&amp;dropout_results!$J$2:$J$300&amp;dropout_results!$I$2:$I$300,dropout_results!$L$2:$L$300,"",0)</f>
        <v/>
      </c>
      <c r="G34" s="8" t="str" cm="1">
        <f t="array" ref="G34">_xlfn.XLOOKUP($A34&amp;G$3&amp;$F$2&amp;$A$1,dropout_results!$C$2:$C$300&amp;dropout_results!$K$2:$K$300&amp;dropout_results!$J$2:$J$300&amp;dropout_results!$I$2:$I$300,dropout_results!$L$2:$L$300,"",0)</f>
        <v/>
      </c>
      <c r="H34" s="8"/>
      <c r="I34" s="8" t="str" cm="1">
        <f t="array" ref="I34">_xlfn.XLOOKUP($A34&amp;I$3&amp;$I$2&amp;$A$1,dropout_results!$C$2:$C$300&amp;dropout_results!$K$2:$K$300&amp;dropout_results!$J$2:$J$300&amp;dropout_results!$I$2:$I$300,dropout_results!$L$2:$L$300,"",0)</f>
        <v>-0.05[-0.18,0.07]</v>
      </c>
      <c r="J34" s="8" t="str" cm="1">
        <f t="array" ref="J34">_xlfn.XLOOKUP($A34&amp;J$3&amp;$I$2&amp;$A$1,dropout_results!$C$2:$C$300&amp;dropout_results!$K$2:$K$300&amp;dropout_results!$J$2:$J$300&amp;dropout_results!$I$2:$I$300,dropout_results!$L$2:$L$300,"",0)</f>
        <v>0.02[-0.10,0.14]</v>
      </c>
    </row>
    <row r="35" spans="1:10" x14ac:dyDescent="0.25">
      <c r="A35" t="s">
        <v>109</v>
      </c>
      <c r="B35" t="s">
        <v>141</v>
      </c>
      <c r="C35" s="8" t="str" cm="1">
        <f t="array" ref="C35">_xlfn.XLOOKUP($A35&amp;C$3&amp;$C$2&amp;$A$1,dropout_results!$C$2:$C$300&amp;dropout_results!$K$2:$K$300&amp;dropout_results!$J$2:$J$300&amp;dropout_results!$I$2:$I$300,dropout_results!$L$2:$L$300,"",0)</f>
        <v/>
      </c>
      <c r="D35" s="8" t="str" cm="1">
        <f t="array" ref="D35">_xlfn.XLOOKUP($A35&amp;D$3&amp;$C$2&amp;$A$1,dropout_results!$C$2:$C$300&amp;dropout_results!$K$2:$K$300&amp;dropout_results!$J$2:$J$300&amp;dropout_results!$I$2:$I$300,dropout_results!$L$2:$L$300,"",0)</f>
        <v/>
      </c>
      <c r="E35" s="8"/>
      <c r="F35" s="8" t="str" cm="1">
        <f t="array" ref="F35">_xlfn.XLOOKUP($A35&amp;F$3&amp;$F$2&amp;$A$1,dropout_results!$C$2:$C$300&amp;dropout_results!$K$2:$K$300&amp;dropout_results!$J$2:$J$300&amp;dropout_results!$I$2:$I$300,dropout_results!$L$2:$L$300,"",0)</f>
        <v/>
      </c>
      <c r="G35" s="8" t="str" cm="1">
        <f t="array" ref="G35">_xlfn.XLOOKUP($A35&amp;G$3&amp;$F$2&amp;$A$1,dropout_results!$C$2:$C$300&amp;dropout_results!$K$2:$K$300&amp;dropout_results!$J$2:$J$300&amp;dropout_results!$I$2:$I$300,dropout_results!$L$2:$L$300,"",0)</f>
        <v/>
      </c>
      <c r="H35" s="8"/>
      <c r="I35" s="8" t="str" cm="1">
        <f t="array" ref="I35">_xlfn.XLOOKUP($A35&amp;I$3&amp;$I$2&amp;$A$1,dropout_results!$C$2:$C$300&amp;dropout_results!$K$2:$K$300&amp;dropout_results!$J$2:$J$300&amp;dropout_results!$I$2:$I$300,dropout_results!$L$2:$L$300,"",0)</f>
        <v>-18.69[-54.51,17.12]</v>
      </c>
      <c r="J35" s="8" t="str" cm="1">
        <f t="array" ref="J35">_xlfn.XLOOKUP($A35&amp;J$3&amp;$I$2&amp;$A$1,dropout_results!$C$2:$C$300&amp;dropout_results!$K$2:$K$300&amp;dropout_results!$J$2:$J$300&amp;dropout_results!$I$2:$I$300,dropout_results!$L$2:$L$300,"",0)</f>
        <v/>
      </c>
    </row>
    <row r="36" spans="1:10" x14ac:dyDescent="0.25">
      <c r="A36" t="s">
        <v>110</v>
      </c>
      <c r="B36" t="s">
        <v>140</v>
      </c>
      <c r="C36" s="8" t="str" cm="1">
        <f t="array" ref="C36">_xlfn.XLOOKUP($A36&amp;C$3&amp;$C$2&amp;$A$1,dropout_results!$C$2:$C$300&amp;dropout_results!$K$2:$K$300&amp;dropout_results!$J$2:$J$300&amp;dropout_results!$I$2:$I$300,dropout_results!$L$2:$L$300,"",0)</f>
        <v/>
      </c>
      <c r="D36" s="8" t="str" cm="1">
        <f t="array" ref="D36">_xlfn.XLOOKUP($A36&amp;D$3&amp;$C$2&amp;$A$1,dropout_results!$C$2:$C$300&amp;dropout_results!$K$2:$K$300&amp;dropout_results!$J$2:$J$300&amp;dropout_results!$I$2:$I$300,dropout_results!$L$2:$L$300,"",0)</f>
        <v/>
      </c>
      <c r="E36" s="8"/>
      <c r="F36" s="8" t="str" cm="1">
        <f t="array" ref="F36">_xlfn.XLOOKUP($A36&amp;F$3&amp;$F$2&amp;$A$1,dropout_results!$C$2:$C$300&amp;dropout_results!$K$2:$K$300&amp;dropout_results!$J$2:$J$300&amp;dropout_results!$I$2:$I$300,dropout_results!$L$2:$L$300,"",0)</f>
        <v/>
      </c>
      <c r="G36" s="8" t="str" cm="1">
        <f t="array" ref="G36">_xlfn.XLOOKUP($A36&amp;G$3&amp;$F$2&amp;$A$1,dropout_results!$C$2:$C$300&amp;dropout_results!$K$2:$K$300&amp;dropout_results!$J$2:$J$300&amp;dropout_results!$I$2:$I$300,dropout_results!$L$2:$L$300,"",0)</f>
        <v/>
      </c>
      <c r="H36" s="8"/>
      <c r="I36" s="8" t="str" cm="1">
        <f t="array" ref="I36">_xlfn.XLOOKUP($A36&amp;I$3&amp;$I$2&amp;$A$1,dropout_results!$C$2:$C$300&amp;dropout_results!$K$2:$K$300&amp;dropout_results!$J$2:$J$300&amp;dropout_results!$I$2:$I$300,dropout_results!$L$2:$L$300,"",0)</f>
        <v>-1.42[-3.36,0.52]</v>
      </c>
      <c r="J36" s="8" t="str" cm="1">
        <f t="array" ref="J36">_xlfn.XLOOKUP($A36&amp;J$3&amp;$I$2&amp;$A$1,dropout_results!$C$2:$C$300&amp;dropout_results!$K$2:$K$300&amp;dropout_results!$J$2:$J$300&amp;dropout_results!$I$2:$I$300,dropout_results!$L$2:$L$300,"",0)</f>
        <v/>
      </c>
    </row>
    <row r="37" spans="1:10" x14ac:dyDescent="0.25">
      <c r="A37" t="s">
        <v>96</v>
      </c>
      <c r="B37" t="s">
        <v>96</v>
      </c>
      <c r="C37" s="8" t="str" cm="1">
        <f t="array" ref="C37">_xlfn.XLOOKUP($A37&amp;C$3&amp;$C$2&amp;$A$1,dropout_results!$C$2:$C$300&amp;dropout_results!$K$2:$K$300&amp;dropout_results!$J$2:$J$300&amp;dropout_results!$I$2:$I$300,dropout_results!$L$2:$L$300,"",0)</f>
        <v/>
      </c>
      <c r="D37" s="8" t="str" cm="1">
        <f t="array" ref="D37">_xlfn.XLOOKUP($A37&amp;D$3&amp;$C$2&amp;$A$1,dropout_results!$C$2:$C$300&amp;dropout_results!$K$2:$K$300&amp;dropout_results!$J$2:$J$300&amp;dropout_results!$I$2:$I$300,dropout_results!$L$2:$L$300,"",0)</f>
        <v/>
      </c>
      <c r="E37" s="8"/>
      <c r="F37" s="8" t="str" cm="1">
        <f t="array" ref="F37">_xlfn.XLOOKUP($A37&amp;F$3&amp;$F$2&amp;$A$1,dropout_results!$C$2:$C$300&amp;dropout_results!$K$2:$K$300&amp;dropout_results!$J$2:$J$300&amp;dropout_results!$I$2:$I$300,dropout_results!$L$2:$L$300,"",0)</f>
        <v/>
      </c>
      <c r="G37" s="8" t="str" cm="1">
        <f t="array" ref="G37">_xlfn.XLOOKUP($A37&amp;G$3&amp;$F$2&amp;$A$1,dropout_results!$C$2:$C$300&amp;dropout_results!$K$2:$K$300&amp;dropout_results!$J$2:$J$300&amp;dropout_results!$I$2:$I$300,dropout_results!$L$2:$L$300,"",0)</f>
        <v/>
      </c>
      <c r="H37" s="8"/>
      <c r="I37" s="8" t="str" cm="1">
        <f t="array" ref="I37">_xlfn.XLOOKUP($A37&amp;I$3&amp;$I$2&amp;$A$1,dropout_results!$C$2:$C$300&amp;dropout_results!$K$2:$K$300&amp;dropout_results!$J$2:$J$300&amp;dropout_results!$I$2:$I$300,dropout_results!$L$2:$L$300,"",0)</f>
        <v>0.00[0.00,0.00]</v>
      </c>
      <c r="J37" s="8" t="str" cm="1">
        <f t="array" ref="J37">_xlfn.XLOOKUP($A37&amp;J$3&amp;$I$2&amp;$A$1,dropout_results!$C$2:$C$300&amp;dropout_results!$K$2:$K$300&amp;dropout_results!$J$2:$J$300&amp;dropout_results!$I$2:$I$300,dropout_results!$L$2:$L$300,"",0)</f>
        <v/>
      </c>
    </row>
    <row r="38" spans="1:10" x14ac:dyDescent="0.25">
      <c r="A38" t="s">
        <v>157</v>
      </c>
      <c r="B38" t="s">
        <v>166</v>
      </c>
      <c r="C38" s="8" t="str" cm="1">
        <f t="array" ref="C38">_xlfn.XLOOKUP($A38&amp;C$3&amp;$C$2&amp;$A$1,dropout_results!$C$2:$C$300&amp;dropout_results!$K$2:$K$300&amp;dropout_results!$J$2:$J$300&amp;dropout_results!$I$2:$I$300,dropout_results!$L$2:$L$300,"",0)</f>
        <v/>
      </c>
      <c r="D38" s="8" t="str" cm="1">
        <f t="array" ref="D38">_xlfn.XLOOKUP($A38&amp;D$3&amp;$C$2&amp;$A$1,dropout_results!$C$2:$C$300&amp;dropout_results!$K$2:$K$300&amp;dropout_results!$J$2:$J$300&amp;dropout_results!$I$2:$I$300,dropout_results!$L$2:$L$300,"",0)</f>
        <v/>
      </c>
      <c r="E38" s="8"/>
      <c r="F38" s="8" t="str" cm="1">
        <f t="array" ref="F38">_xlfn.XLOOKUP($A38&amp;F$3&amp;$F$2&amp;$A$1,dropout_results!$C$2:$C$300&amp;dropout_results!$K$2:$K$300&amp;dropout_results!$J$2:$J$300&amp;dropout_results!$I$2:$I$300,dropout_results!$L$2:$L$300,"",0)</f>
        <v/>
      </c>
      <c r="G38" s="8" t="str" cm="1">
        <f t="array" ref="G38">_xlfn.XLOOKUP($A38&amp;G$3&amp;$F$2&amp;$A$1,dropout_results!$C$2:$C$300&amp;dropout_results!$K$2:$K$300&amp;dropout_results!$J$2:$J$300&amp;dropout_results!$I$2:$I$300,dropout_results!$L$2:$L$300,"",0)</f>
        <v/>
      </c>
      <c r="H38" s="8"/>
      <c r="I38" s="8" t="str" cm="1">
        <f t="array" ref="I38">_xlfn.XLOOKUP($A38&amp;I$3&amp;$I$2&amp;$A$1,dropout_results!$C$2:$C$300&amp;dropout_results!$K$2:$K$300&amp;dropout_results!$J$2:$J$300&amp;dropout_results!$I$2:$I$300,dropout_results!$L$2:$L$300,"",0)</f>
        <v/>
      </c>
      <c r="J38" s="8" t="str" cm="1">
        <f t="array" ref="J38">_xlfn.XLOOKUP($A38&amp;J$3&amp;$I$2&amp;$A$1,dropout_results!$C$2:$C$300&amp;dropout_results!$K$2:$K$300&amp;dropout_results!$J$2:$J$300&amp;dropout_results!$I$2:$I$300,dropout_results!$L$2:$L$300,"",0)</f>
        <v/>
      </c>
    </row>
    <row r="39" spans="1:10" x14ac:dyDescent="0.25">
      <c r="A39" t="s">
        <v>158</v>
      </c>
      <c r="B39" t="s">
        <v>167</v>
      </c>
      <c r="C39" s="8" t="str" cm="1">
        <f t="array" ref="C39">_xlfn.XLOOKUP($A39&amp;C$3&amp;$C$2&amp;$A$1,dropout_results!$C$2:$C$300&amp;dropout_results!$K$2:$K$300&amp;dropout_results!$J$2:$J$300&amp;dropout_results!$I$2:$I$300,dropout_results!$L$2:$L$300,"",0)</f>
        <v/>
      </c>
      <c r="D39" s="8" t="str" cm="1">
        <f t="array" ref="D39">_xlfn.XLOOKUP($A39&amp;D$3&amp;$C$2&amp;$A$1,dropout_results!$C$2:$C$300&amp;dropout_results!$K$2:$K$300&amp;dropout_results!$J$2:$J$300&amp;dropout_results!$I$2:$I$300,dropout_results!$L$2:$L$300,"",0)</f>
        <v/>
      </c>
      <c r="E39" s="8"/>
      <c r="F39" s="8" t="str" cm="1">
        <f t="array" ref="F39">_xlfn.XLOOKUP($A39&amp;F$3&amp;$F$2&amp;$A$1,dropout_results!$C$2:$C$300&amp;dropout_results!$K$2:$K$300&amp;dropout_results!$J$2:$J$300&amp;dropout_results!$I$2:$I$300,dropout_results!$L$2:$L$300,"",0)</f>
        <v/>
      </c>
      <c r="G39" s="8" t="str" cm="1">
        <f t="array" ref="G39">_xlfn.XLOOKUP($A39&amp;G$3&amp;$F$2&amp;$A$1,dropout_results!$C$2:$C$300&amp;dropout_results!$K$2:$K$300&amp;dropout_results!$J$2:$J$300&amp;dropout_results!$I$2:$I$300,dropout_results!$L$2:$L$300,"",0)</f>
        <v/>
      </c>
      <c r="H39" s="8"/>
      <c r="I39" s="8" t="str" cm="1">
        <f t="array" ref="I39">_xlfn.XLOOKUP($A39&amp;I$3&amp;$I$2&amp;$A$1,dropout_results!$C$2:$C$300&amp;dropout_results!$K$2:$K$300&amp;dropout_results!$J$2:$J$300&amp;dropout_results!$I$2:$I$300,dropout_results!$L$2:$L$300,"",0)</f>
        <v/>
      </c>
      <c r="J39" s="8" t="str" cm="1">
        <f t="array" ref="J39">_xlfn.XLOOKUP($A39&amp;J$3&amp;$I$2&amp;$A$1,dropout_results!$C$2:$C$300&amp;dropout_results!$K$2:$K$300&amp;dropout_results!$J$2:$J$300&amp;dropout_results!$I$2:$I$300,dropout_results!$L$2:$L$300,"",0)</f>
        <v/>
      </c>
    </row>
    <row r="40" spans="1:10" x14ac:dyDescent="0.25">
      <c r="A40" t="s">
        <v>145</v>
      </c>
      <c r="B40" t="s">
        <v>155</v>
      </c>
      <c r="C40" s="8" t="str" cm="1">
        <f t="array" ref="C40">_xlfn.XLOOKUP($A40&amp;C$3&amp;$C$2&amp;$A$1,dropout_results!$C$2:$C$300&amp;dropout_results!$K$2:$K$300&amp;dropout_results!$J$2:$J$300&amp;dropout_results!$I$2:$I$300,dropout_results!$L$2:$L$300,"",0)</f>
        <v/>
      </c>
      <c r="D40" s="8" t="str" cm="1">
        <f t="array" ref="D40">_xlfn.XLOOKUP($A40&amp;D$3&amp;$C$2&amp;$A$1,dropout_results!$C$2:$C$300&amp;dropout_results!$K$2:$K$300&amp;dropout_results!$J$2:$J$300&amp;dropout_results!$I$2:$I$300,dropout_results!$L$2:$L$300,"",0)</f>
        <v/>
      </c>
      <c r="E40" s="8"/>
      <c r="F40" s="8" t="str" cm="1">
        <f t="array" ref="F40">_xlfn.XLOOKUP($A40&amp;F$3&amp;$F$2&amp;$A$1,dropout_results!$C$2:$C$300&amp;dropout_results!$K$2:$K$300&amp;dropout_results!$J$2:$J$300&amp;dropout_results!$I$2:$I$300,dropout_results!$L$2:$L$300,"",0)</f>
        <v/>
      </c>
      <c r="G40" s="8" t="str" cm="1">
        <f t="array" ref="G40">_xlfn.XLOOKUP($A40&amp;G$3&amp;$F$2&amp;$A$1,dropout_results!$C$2:$C$300&amp;dropout_results!$K$2:$K$300&amp;dropout_results!$J$2:$J$300&amp;dropout_results!$I$2:$I$300,dropout_results!$L$2:$L$300,"",0)</f>
        <v/>
      </c>
      <c r="H40" s="8"/>
      <c r="I40" s="8" t="str" cm="1">
        <f t="array" ref="I40">_xlfn.XLOOKUP($A40&amp;I$3&amp;$I$2&amp;$A$1,dropout_results!$C$2:$C$300&amp;dropout_results!$K$2:$K$300&amp;dropout_results!$J$2:$J$300&amp;dropout_results!$I$2:$I$300,dropout_results!$L$2:$L$300,"",0)</f>
        <v/>
      </c>
      <c r="J40" s="8" t="str" cm="1">
        <f t="array" ref="J40">_xlfn.XLOOKUP($A40&amp;J$3&amp;$I$2&amp;$A$1,dropout_results!$C$2:$C$300&amp;dropout_results!$K$2:$K$300&amp;dropout_results!$J$2:$J$300&amp;dropout_results!$I$2:$I$300,dropout_results!$L$2:$L$300,"",0)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doses_results</vt:lpstr>
      <vt:lpstr>first_dose_table</vt:lpstr>
      <vt:lpstr>second_dose_table</vt:lpstr>
      <vt:lpstr>third_dose_table</vt:lpstr>
      <vt:lpstr>dropout_results</vt:lpstr>
      <vt:lpstr>1v2_dropout_table</vt:lpstr>
      <vt:lpstr>2v3_dropout_table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Llanes-Kidder</dc:creator>
  <cp:lastModifiedBy>Camila Llanes-Kidder</cp:lastModifiedBy>
  <dcterms:created xsi:type="dcterms:W3CDTF">2024-12-30T19:51:43Z</dcterms:created>
  <dcterms:modified xsi:type="dcterms:W3CDTF">2025-12-11T22:59:42Z</dcterms:modified>
</cp:coreProperties>
</file>